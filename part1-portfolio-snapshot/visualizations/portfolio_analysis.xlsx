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naw\Desktop\lendinvest-assessment\part1-portfolio-snapshot\visualizations\"/>
    </mc:Choice>
  </mc:AlternateContent>
  <xr:revisionPtr revIDLastSave="0" documentId="13_ncr:1_{38C3B109-B824-47ED-99D2-18E657A1611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harts" sheetId="3" r:id="rId1"/>
    <sheet name="tables_pivot" sheetId="2" r:id="rId2"/>
    <sheet name="loans_raw" sheetId="1" r:id="rId3"/>
  </sheets>
  <calcPr calcId="191028"/>
  <pivotCaches>
    <pivotCache cacheId="0" r:id="rId4"/>
    <pivotCache cacheId="1" r:id="rId5"/>
    <pivotCache cacheId="2" r:id="rId6"/>
    <pivotCache cacheId="3" r:id="rId7"/>
    <pivotCache cacheId="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1" l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<sst xmlns="http://schemas.openxmlformats.org/spreadsheetml/2006/main" count="224" uniqueCount="69">
  <si>
    <t>loan_id</t>
  </si>
  <si>
    <t>borrower_segment</t>
  </si>
  <si>
    <t>broker_name</t>
  </si>
  <si>
    <t>product_type</t>
  </si>
  <si>
    <t>region</t>
  </si>
  <si>
    <t>origination_date</t>
  </si>
  <si>
    <t>original_balance</t>
  </si>
  <si>
    <t>current_balance</t>
  </si>
  <si>
    <t>interest_rate</t>
  </si>
  <si>
    <t>status</t>
  </si>
  <si>
    <t>arrears_days</t>
  </si>
  <si>
    <t>property_value</t>
  </si>
  <si>
    <t>ltv_at_origination</t>
  </si>
  <si>
    <t>Individual</t>
  </si>
  <si>
    <t>Acme Brokers</t>
  </si>
  <si>
    <t>BTL</t>
  </si>
  <si>
    <t>London</t>
  </si>
  <si>
    <t>Current</t>
  </si>
  <si>
    <t>LtdCo</t>
  </si>
  <si>
    <t>South East</t>
  </si>
  <si>
    <t>InArrears</t>
  </si>
  <si>
    <t>Prime Introducers</t>
  </si>
  <si>
    <t>Bridging</t>
  </si>
  <si>
    <t>LLP</t>
  </si>
  <si>
    <t>Development</t>
  </si>
  <si>
    <t>North West</t>
  </si>
  <si>
    <t>Defaulted</t>
  </si>
  <si>
    <t>Direct</t>
  </si>
  <si>
    <t>Midlands</t>
  </si>
  <si>
    <t>Smith Finance</t>
  </si>
  <si>
    <t>Metro Brokers</t>
  </si>
  <si>
    <t>Scotland</t>
  </si>
  <si>
    <t>Wales</t>
  </si>
  <si>
    <t>Current Balance Per Product Type</t>
  </si>
  <si>
    <t>Current Balance Per Broker</t>
  </si>
  <si>
    <t>Sum of current_balance</t>
  </si>
  <si>
    <t>Grand Total</t>
  </si>
  <si>
    <t>Risk Per Product Type</t>
  </si>
  <si>
    <t xml:space="preserve"> </t>
  </si>
  <si>
    <t>Broker</t>
  </si>
  <si>
    <t>Region</t>
  </si>
  <si>
    <t>Risk Per Region</t>
  </si>
  <si>
    <t>Current Balance Per Region</t>
  </si>
  <si>
    <t>Risk Per Broker</t>
  </si>
  <si>
    <t>Percentage of Loan Repaid by Broker</t>
  </si>
  <si>
    <t>Percentage of Loan Repaid by Product</t>
  </si>
  <si>
    <t>Product</t>
  </si>
  <si>
    <t>Average percentage repaid</t>
  </si>
  <si>
    <t>percentage_repaid</t>
  </si>
  <si>
    <t>Percentage of Loan Repaid by Region</t>
  </si>
  <si>
    <t>Average of ltv_at_origination</t>
  </si>
  <si>
    <t>Average LTV at Origination by Product</t>
  </si>
  <si>
    <t>ltv-band</t>
  </si>
  <si>
    <t>LTV Band by Status</t>
  </si>
  <si>
    <t>LTV Band By Status</t>
  </si>
  <si>
    <t>high</t>
  </si>
  <si>
    <t>medium</t>
  </si>
  <si>
    <t>low</t>
  </si>
  <si>
    <t>LTV Band</t>
  </si>
  <si>
    <t>Assessing How LTV Band Affects Status</t>
  </si>
  <si>
    <t>*Please Note (Also Indicates total Current Balance by Product)</t>
  </si>
  <si>
    <t>Assessing Risk by Product Type</t>
  </si>
  <si>
    <t>Assessing the Risk by Broker</t>
  </si>
  <si>
    <t>Assessing Risk by Region</t>
  </si>
  <si>
    <t>Assessing LTV Bands</t>
  </si>
  <si>
    <t>Assessing Risk by Broker</t>
  </si>
  <si>
    <t>Average LTV at Origination by Broker</t>
  </si>
  <si>
    <t>Row Labels</t>
  </si>
  <si>
    <t>Average LTV at Origination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</si>
</sst>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&quot;£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4" xfId="0" pivotButton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pivotButton="1" applyBorder="1" applyAlignment="1">
      <alignment horizontal="center" vertical="center"/>
    </xf>
    <xf numFmtId="165" fontId="0" fillId="0" borderId="0" xfId="0" applyNumberFormat="1"/>
    <xf numFmtId="3" fontId="0" fillId="0" borderId="0" xfId="0" applyNumberFormat="1"/>
    <xf numFmtId="3" fontId="0" fillId="0" borderId="1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10" fontId="0" fillId="0" borderId="0" xfId="0" applyNumberFormat="1"/>
    <xf numFmtId="165" fontId="0" fillId="0" borderId="4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165" fontId="0" fillId="0" borderId="10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2" xfId="0" pivotButton="1" applyBorder="1" applyAlignment="1">
      <alignment horizontal="center" vertical="center"/>
    </xf>
    <xf numFmtId="0" fontId="0" fillId="0" borderId="16" xfId="0" pivotButton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297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£&quot;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&quot;£&quot;#,##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bottom style="thin">
          <color indexed="64"/>
        </bottom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numFmt numFmtId="3" formatCode="#,##0"/>
    </dxf>
    <dxf>
      <numFmt numFmtId="3" formatCode="#,##0"/>
    </dxf>
    <dxf>
      <numFmt numFmtId="2" formatCode="0.00"/>
    </dxf>
    <dxf>
      <numFmt numFmtId="165" formatCode="&quot;£&quot;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14" formatCode="0.00%"/>
    </dxf>
    <dxf>
      <numFmt numFmtId="165" formatCode="&quot;£&quot;#,##0"/>
    </dxf>
    <dxf>
      <numFmt numFmtId="165" formatCode="&quot;£&quot;#,##0"/>
    </dxf>
    <dxf>
      <numFmt numFmtId="165" formatCode="&quot;£&quot;#,##0"/>
    </dxf>
    <dxf>
      <numFmt numFmtId="19" formatCode="dd/mm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numLit>
          </c:cat>
          <c:val>
            <c:numLit>
              <c:formatCode>General</c:formatCode>
              <c:ptCount val="3"/>
              <c:pt idx="0">
                <c:v>1215000</c:v>
              </c:pt>
              <c:pt idx="1">
                <c:v>971000</c:v>
              </c:pt>
              <c:pt idx="2">
                <c:v>1475000</c:v>
              </c:pt>
            </c:numLit>
          </c:val>
          <c:extLst>
            <c:ext xmlns:c16="http://schemas.microsoft.com/office/drawing/2014/chart" uri="{C3380CC4-5D6E-409C-BE32-E72D297353CC}">
              <c16:uniqueId val="{00000000-32B6-48CB-BF24-D0F945839CC3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num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160000</c:v>
              </c:pt>
              <c:pt idx="2">
                <c:v>1810000</c:v>
              </c:pt>
            </c:numLit>
          </c:val>
          <c:extLst>
            <c:ext xmlns:c16="http://schemas.microsoft.com/office/drawing/2014/chart" uri="{C3380CC4-5D6E-409C-BE32-E72D297353CC}">
              <c16:uniqueId val="{00000001-32B6-48CB-BF24-D0F945839CC3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numLit>
          </c:cat>
          <c:val>
            <c:numLit>
              <c:formatCode>General</c:formatCode>
              <c:ptCount val="3"/>
              <c:pt idx="0">
                <c:v>340000</c:v>
              </c:pt>
              <c:pt idx="1">
                <c:v>360000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32B6-48CB-BF24-D0F945839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6128592"/>
        <c:axId val="1181290111"/>
      </c:barChart>
      <c:catAx>
        <c:axId val="130612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290111"/>
        <c:crosses val="autoZero"/>
        <c:auto val="1"/>
        <c:lblAlgn val="ctr"/>
        <c:lblOffset val="100"/>
        <c:noMultiLvlLbl val="0"/>
      </c:catAx>
      <c:valAx>
        <c:axId val="118129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12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[portfolio_analysis.xlsx]tables_pivot!PivotTable15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tables_pivot!$C$15:$C$16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tables_pivot!$B$17:$B$19</c:f>
              <c:strCache>
                <c:ptCount val="3"/>
                <c:pt idx="0">
                  <c:v>Development</c:v>
                </c:pt>
                <c:pt idx="1">
                  <c:v>Bridging</c:v>
                </c:pt>
                <c:pt idx="2">
                  <c:v>BTL</c:v>
                </c:pt>
              </c:strCache>
            </c:strRef>
          </c:cat>
          <c:val>
            <c:numRef>
              <c:f>tables_pivot!$C$17:$C$19</c:f>
              <c:numCache>
                <c:formatCode>#,##0</c:formatCode>
                <c:ptCount val="3"/>
                <c:pt idx="0">
                  <c:v>1475000</c:v>
                </c:pt>
                <c:pt idx="1">
                  <c:v>1215000</c:v>
                </c:pt>
                <c:pt idx="2">
                  <c:v>971000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2C-4AFC-B4B5-F28C9B2B1451}"/>
            </c:ext>
          </c:extLst>
        </c:ser>
        <c:ser>
          <c:idx val="1"/>
          <c:order val="1"/>
          <c:tx>
            <c:strRef>
              <c:f>tables_pivot!$D$15:$D$16</c:f>
              <c:strCache>
                <c:ptCount val="1"/>
                <c:pt idx="0">
                  <c:v>InArrears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tables_pivot!$B$17:$B$19</c:f>
              <c:strCache>
                <c:ptCount val="3"/>
                <c:pt idx="0">
                  <c:v>Development</c:v>
                </c:pt>
                <c:pt idx="1">
                  <c:v>Bridging</c:v>
                </c:pt>
                <c:pt idx="2">
                  <c:v>BTL</c:v>
                </c:pt>
              </c:strCache>
            </c:strRef>
          </c:cat>
          <c:val>
            <c:numRef>
              <c:f>tables_pivot!$D$17:$D$19</c:f>
              <c:numCache>
                <c:formatCode>#,##0</c:formatCode>
                <c:ptCount val="3"/>
                <c:pt idx="1">
                  <c:v>340000</c:v>
                </c:pt>
                <c:pt idx="2">
                  <c:v>360000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2C-4AFC-B4B5-F28C9B2B1451}"/>
            </c:ext>
          </c:extLst>
        </c:ser>
        <c:ser>
          <c:idx val="2"/>
          <c:order val="2"/>
          <c:tx>
            <c:strRef>
              <c:f>tables_pivot!$E$15:$E$16</c:f>
              <c:strCache>
                <c:ptCount val="1"/>
                <c:pt idx="0">
                  <c:v>Defaulted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tables_pivot!$B$17:$B$19</c:f>
              <c:strCache>
                <c:ptCount val="3"/>
                <c:pt idx="0">
                  <c:v>Development</c:v>
                </c:pt>
                <c:pt idx="1">
                  <c:v>Bridging</c:v>
                </c:pt>
                <c:pt idx="2">
                  <c:v>BTL</c:v>
                </c:pt>
              </c:strCache>
            </c:strRef>
          </c:cat>
          <c:val>
            <c:numRef>
              <c:f>tables_pivot!$E$17:$E$19</c:f>
              <c:numCache>
                <c:formatCode>#,##0</c:formatCode>
                <c:ptCount val="3"/>
                <c:pt idx="0">
                  <c:v>1810000</c:v>
                </c:pt>
                <c:pt idx="2">
                  <c:v>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2C-4AFC-B4B5-F28C9B2B1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3771919"/>
        <c:axId val="673774799"/>
      </c:barChart>
      <c:catAx>
        <c:axId val="673771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Produc</a:t>
                </a:r>
                <a:r>
                  <a:rPr lang="en-GB" b="1" baseline="0"/>
                  <a:t>t  Type</a:t>
                </a:r>
                <a:endParaRPr lang="en-GB" b="1"/>
              </a:p>
            </c:rich>
          </c:tx>
          <c:layout>
            <c:manualLayout>
              <c:xMode val="edge"/>
              <c:yMode val="edge"/>
              <c:x val="0.40129670669611139"/>
              <c:y val="0.90811708844777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774799"/>
        <c:crosses val="autoZero"/>
        <c:auto val="1"/>
        <c:lblAlgn val="ctr"/>
        <c:lblOffset val="100"/>
        <c:noMultiLvlLbl val="0"/>
      </c:catAx>
      <c:valAx>
        <c:axId val="67377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Total Current Balance (£000s)</a:t>
                </a:r>
              </a:p>
            </c:rich>
          </c:tx>
          <c:layout>
            <c:manualLayout>
              <c:xMode val="edge"/>
              <c:yMode val="edge"/>
              <c:x val="1.5652174984743236E-2"/>
              <c:y val="0.15801388454913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771919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[portfolio_analysis.xlsx]tables_pivot!PivotTable12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tables_pivot!$H$15:$H$16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tables_pivot!$G$17:$G$21</c:f>
              <c:strCache>
                <c:ptCount val="5"/>
                <c:pt idx="0">
                  <c:v>Acme Brokers</c:v>
                </c:pt>
                <c:pt idx="1">
                  <c:v>Direct</c:v>
                </c:pt>
                <c:pt idx="2">
                  <c:v>Metro Brokers</c:v>
                </c:pt>
                <c:pt idx="3">
                  <c:v>Prime Introducers</c:v>
                </c:pt>
                <c:pt idx="4">
                  <c:v>Smith Finance</c:v>
                </c:pt>
              </c:strCache>
            </c:strRef>
          </c:cat>
          <c:val>
            <c:numRef>
              <c:f>tables_pivot!$H$17:$H$21</c:f>
              <c:numCache>
                <c:formatCode>#,##0</c:formatCode>
                <c:ptCount val="5"/>
                <c:pt idx="0">
                  <c:v>295000</c:v>
                </c:pt>
                <c:pt idx="1">
                  <c:v>1108000</c:v>
                </c:pt>
                <c:pt idx="2">
                  <c:v>1140000</c:v>
                </c:pt>
                <c:pt idx="3">
                  <c:v>723000</c:v>
                </c:pt>
                <c:pt idx="4">
                  <c:v>395000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7-4EBC-AF9B-EB3B43CB5309}"/>
            </c:ext>
          </c:extLst>
        </c:ser>
        <c:ser>
          <c:idx val="1"/>
          <c:order val="1"/>
          <c:tx>
            <c:strRef>
              <c:f>tables_pivot!$I$15:$I$16</c:f>
              <c:strCache>
                <c:ptCount val="1"/>
                <c:pt idx="0">
                  <c:v>InArrears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tables_pivot!$G$17:$G$21</c:f>
              <c:strCache>
                <c:ptCount val="5"/>
                <c:pt idx="0">
                  <c:v>Acme Brokers</c:v>
                </c:pt>
                <c:pt idx="1">
                  <c:v>Direct</c:v>
                </c:pt>
                <c:pt idx="2">
                  <c:v>Metro Brokers</c:v>
                </c:pt>
                <c:pt idx="3">
                  <c:v>Prime Introducers</c:v>
                </c:pt>
                <c:pt idx="4">
                  <c:v>Smith Finance</c:v>
                </c:pt>
              </c:strCache>
            </c:strRef>
          </c:cat>
          <c:val>
            <c:numRef>
              <c:f>tables_pivot!$I$17:$I$21</c:f>
              <c:numCache>
                <c:formatCode>#,##0</c:formatCode>
                <c:ptCount val="5"/>
                <c:pt idx="0">
                  <c:v>580000</c:v>
                </c:pt>
                <c:pt idx="2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97-4EBC-AF9B-EB3B43CB5309}"/>
            </c:ext>
          </c:extLst>
        </c:ser>
        <c:ser>
          <c:idx val="2"/>
          <c:order val="2"/>
          <c:tx>
            <c:strRef>
              <c:f>tables_pivot!$J$15:$J$16</c:f>
              <c:strCache>
                <c:ptCount val="1"/>
                <c:pt idx="0">
                  <c:v>Defaulted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tables_pivot!$G$17:$G$21</c:f>
              <c:strCache>
                <c:ptCount val="5"/>
                <c:pt idx="0">
                  <c:v>Acme Brokers</c:v>
                </c:pt>
                <c:pt idx="1">
                  <c:v>Direct</c:v>
                </c:pt>
                <c:pt idx="2">
                  <c:v>Metro Brokers</c:v>
                </c:pt>
                <c:pt idx="3">
                  <c:v>Prime Introducers</c:v>
                </c:pt>
                <c:pt idx="4">
                  <c:v>Smith Finance</c:v>
                </c:pt>
              </c:strCache>
            </c:strRef>
          </c:cat>
          <c:val>
            <c:numRef>
              <c:f>tables_pivot!$J$17:$J$21</c:f>
              <c:numCache>
                <c:formatCode>#,##0</c:formatCode>
                <c:ptCount val="5"/>
                <c:pt idx="3">
                  <c:v>810000</c:v>
                </c:pt>
                <c:pt idx="4">
                  <c:v>1160000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97-4EBC-AF9B-EB3B43CB5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5564495"/>
        <c:axId val="805579855"/>
      </c:barChart>
      <c:catAx>
        <c:axId val="805564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Broker</a:t>
                </a:r>
              </a:p>
            </c:rich>
          </c:tx>
          <c:layout>
            <c:manualLayout>
              <c:xMode val="edge"/>
              <c:yMode val="edge"/>
              <c:x val="0.46520318145862249"/>
              <c:y val="0.905955123889027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79855"/>
        <c:crosses val="autoZero"/>
        <c:auto val="1"/>
        <c:lblAlgn val="ctr"/>
        <c:lblOffset val="100"/>
        <c:noMultiLvlLbl val="0"/>
      </c:catAx>
      <c:valAx>
        <c:axId val="80557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Total Current Balance (£000s)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64495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[portfolio_analysis.xlsx]tables_pivot!PivotTable20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tables_pivot!$M$15:$M$16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tables_pivot!$L$17:$L$22</c:f>
              <c:strCache>
                <c:ptCount val="6"/>
                <c:pt idx="0">
                  <c:v>London</c:v>
                </c:pt>
                <c:pt idx="1">
                  <c:v>Midlands</c:v>
                </c:pt>
                <c:pt idx="2">
                  <c:v>North West</c:v>
                </c:pt>
                <c:pt idx="3">
                  <c:v>Scotland</c:v>
                </c:pt>
                <c:pt idx="4">
                  <c:v>South East</c:v>
                </c:pt>
                <c:pt idx="5">
                  <c:v>Wales</c:v>
                </c:pt>
              </c:strCache>
            </c:strRef>
          </c:cat>
          <c:val>
            <c:numRef>
              <c:f>tables_pivot!$M$17:$M$22</c:f>
              <c:numCache>
                <c:formatCode>#,##0</c:formatCode>
                <c:ptCount val="6"/>
                <c:pt idx="0">
                  <c:v>1195000</c:v>
                </c:pt>
                <c:pt idx="1">
                  <c:v>1078000</c:v>
                </c:pt>
                <c:pt idx="3">
                  <c:v>218000</c:v>
                </c:pt>
                <c:pt idx="4">
                  <c:v>910000</c:v>
                </c:pt>
                <c:pt idx="5">
                  <c:v>260000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EA-476E-8852-0958EF9295FA}"/>
            </c:ext>
          </c:extLst>
        </c:ser>
        <c:ser>
          <c:idx val="1"/>
          <c:order val="1"/>
          <c:tx>
            <c:strRef>
              <c:f>tables_pivot!$N$15:$N$16</c:f>
              <c:strCache>
                <c:ptCount val="1"/>
                <c:pt idx="0">
                  <c:v>InArrears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tables_pivot!$L$17:$L$22</c:f>
              <c:strCache>
                <c:ptCount val="6"/>
                <c:pt idx="0">
                  <c:v>London</c:v>
                </c:pt>
                <c:pt idx="1">
                  <c:v>Midlands</c:v>
                </c:pt>
                <c:pt idx="2">
                  <c:v>North West</c:v>
                </c:pt>
                <c:pt idx="3">
                  <c:v>Scotland</c:v>
                </c:pt>
                <c:pt idx="4">
                  <c:v>South East</c:v>
                </c:pt>
                <c:pt idx="5">
                  <c:v>Wales</c:v>
                </c:pt>
              </c:strCache>
            </c:strRef>
          </c:cat>
          <c:val>
            <c:numRef>
              <c:f>tables_pivot!$N$17:$N$22</c:f>
              <c:numCache>
                <c:formatCode>#,##0</c:formatCode>
                <c:ptCount val="6"/>
                <c:pt idx="2">
                  <c:v>120000</c:v>
                </c:pt>
                <c:pt idx="3">
                  <c:v>340000</c:v>
                </c:pt>
                <c:pt idx="4">
                  <c:v>240000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EA-476E-8852-0958EF9295FA}"/>
            </c:ext>
          </c:extLst>
        </c:ser>
        <c:ser>
          <c:idx val="2"/>
          <c:order val="2"/>
          <c:tx>
            <c:strRef>
              <c:f>tables_pivot!$O$15:$O$16</c:f>
              <c:strCache>
                <c:ptCount val="1"/>
                <c:pt idx="0">
                  <c:v>Defaulted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tables_pivot!$L$17:$L$22</c:f>
              <c:strCache>
                <c:ptCount val="6"/>
                <c:pt idx="0">
                  <c:v>London</c:v>
                </c:pt>
                <c:pt idx="1">
                  <c:v>Midlands</c:v>
                </c:pt>
                <c:pt idx="2">
                  <c:v>North West</c:v>
                </c:pt>
                <c:pt idx="3">
                  <c:v>Scotland</c:v>
                </c:pt>
                <c:pt idx="4">
                  <c:v>South East</c:v>
                </c:pt>
                <c:pt idx="5">
                  <c:v>Wales</c:v>
                </c:pt>
              </c:strCache>
            </c:strRef>
          </c:cat>
          <c:val>
            <c:numRef>
              <c:f>tables_pivot!$O$17:$O$22</c:f>
              <c:numCache>
                <c:formatCode>#,##0</c:formatCode>
                <c:ptCount val="6"/>
                <c:pt idx="0">
                  <c:v>1000000</c:v>
                </c:pt>
                <c:pt idx="2">
                  <c:v>810000</c:v>
                </c:pt>
                <c:pt idx="4">
                  <c:v>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EA-476E-8852-0958EF929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5598095"/>
        <c:axId val="805596175"/>
      </c:barChart>
      <c:catAx>
        <c:axId val="805598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Region</a:t>
                </a:r>
              </a:p>
            </c:rich>
          </c:tx>
          <c:layout>
            <c:manualLayout>
              <c:xMode val="edge"/>
              <c:yMode val="edge"/>
              <c:x val="0.4386466579011748"/>
              <c:y val="0.891655954244928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96175"/>
        <c:crosses val="autoZero"/>
        <c:auto val="1"/>
        <c:lblAlgn val="ctr"/>
        <c:lblOffset val="100"/>
        <c:noMultiLvlLbl val="0"/>
      </c:catAx>
      <c:valAx>
        <c:axId val="80559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Total Current Balance (£000s)</a:t>
                </a:r>
              </a:p>
            </c:rich>
          </c:tx>
          <c:layout>
            <c:manualLayout>
              <c:xMode val="edge"/>
              <c:yMode val="edge"/>
              <c:x val="2.0869566646324316E-2"/>
              <c:y val="0.15333960170775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98095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587960853698539"/>
          <c:y val="4.9040257241950658E-2"/>
          <c:w val="0.51007672783739277"/>
          <c:h val="0.67653720319586619"/>
        </c:manualLayout>
      </c:layout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</c:numLit>
          </c:cat>
          <c:val>
            <c:numLit>
              <c:formatCode>General</c:formatCode>
              <c:ptCount val="5"/>
              <c:pt idx="0">
                <c:v>1260000</c:v>
              </c:pt>
              <c:pt idx="1">
                <c:v>1555000</c:v>
              </c:pt>
              <c:pt idx="2">
                <c:v>875000</c:v>
              </c:pt>
              <c:pt idx="3">
                <c:v>1108000</c:v>
              </c:pt>
              <c:pt idx="4">
                <c:v>1533000</c:v>
              </c:pt>
            </c:numLit>
          </c:val>
          <c:extLst>
            <c:ext xmlns:c16="http://schemas.microsoft.com/office/drawing/2014/chart" uri="{C3380CC4-5D6E-409C-BE32-E72D297353CC}">
              <c16:uniqueId val="{00000000-6A23-4D33-AEFE-604AACF28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8634047"/>
        <c:axId val="318634527"/>
      </c:barChart>
      <c:lineChart>
        <c:grouping val="standard"/>
        <c:varyColors val="0"/>
        <c:ser>
          <c:idx val="1"/>
          <c:order val="1"/>
          <c:tx>
            <c:v>Series2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</c:numLit>
          </c:cat>
          <c:val>
            <c:numLit>
              <c:formatCode>General</c:formatCode>
              <c:ptCount val="5"/>
              <c:pt idx="0">
                <c:v>9.2255892255892258E-2</c:v>
              </c:pt>
              <c:pt idx="1">
                <c:v>7.1506734006734005E-2</c:v>
              </c:pt>
              <c:pt idx="2">
                <c:v>2.8412698412698414E-2</c:v>
              </c:pt>
              <c:pt idx="3">
                <c:v>1.1319444444444444E-2</c:v>
              </c:pt>
              <c:pt idx="4">
                <c:v>-4.4696969696969699E-3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6A23-4D33-AEFE-604AACF28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210319"/>
        <c:axId val="879210799"/>
      </c:lineChart>
      <c:catAx>
        <c:axId val="318634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Broker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634527"/>
        <c:crosses val="autoZero"/>
        <c:auto val="1"/>
        <c:lblAlgn val="ctr"/>
        <c:lblOffset val="100"/>
        <c:noMultiLvlLbl val="0"/>
      </c:catAx>
      <c:valAx>
        <c:axId val="31863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Current Balance (In Thousands)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634047"/>
        <c:crosses val="autoZero"/>
        <c:crossBetween val="between"/>
        <c:dispUnits>
          <c:builtInUnit val="thousands"/>
        </c:dispUnits>
      </c:valAx>
      <c:valAx>
        <c:axId val="879210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Percentage Repaid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210319"/>
        <c:crosses val="max"/>
        <c:crossBetween val="between"/>
      </c:valAx>
      <c:catAx>
        <c:axId val="8792103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92107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874262277130481"/>
          <c:y val="3.8556064235018825E-2"/>
          <c:w val="0.18038744036518817"/>
          <c:h val="0.47874553584083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[portfolio_analysis.xlsx]tables_pivot!PivotTable13</c:name>
    <c:fmtId val="2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6992535024031"/>
          <c:y val="4.7439361154464191E-2"/>
          <c:w val="0.39899028530524594"/>
          <c:h val="0.723133768811048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tables_pivot!$C$26</c:f>
              <c:strCache>
                <c:ptCount val="1"/>
                <c:pt idx="0">
                  <c:v>Sum of current_balance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tables_pivot!$B$27:$B$29</c:f>
              <c:strCache>
                <c:ptCount val="3"/>
                <c:pt idx="0">
                  <c:v>Development</c:v>
                </c:pt>
                <c:pt idx="1">
                  <c:v>Bridging</c:v>
                </c:pt>
                <c:pt idx="2">
                  <c:v>BTL</c:v>
                </c:pt>
              </c:strCache>
            </c:strRef>
          </c:cat>
          <c:val>
            <c:numRef>
              <c:f>tables_pivot!$C$27:$C$29</c:f>
              <c:numCache>
                <c:formatCode>"£"#,##0</c:formatCode>
                <c:ptCount val="3"/>
                <c:pt idx="0">
                  <c:v>3285000</c:v>
                </c:pt>
                <c:pt idx="1">
                  <c:v>1555000</c:v>
                </c:pt>
                <c:pt idx="2">
                  <c:v>1491000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4-4085-AC0C-42384A62A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8178575"/>
        <c:axId val="758179055"/>
      </c:barChart>
      <c:lineChart>
        <c:grouping val="standard"/>
        <c:varyColors val="0"/>
        <c:ser>
          <c:idx val="1"/>
          <c:order val="1"/>
          <c:tx>
            <c:strRef>
              <c:f>tables_pivot!$D$26</c:f>
              <c:strCache>
                <c:ptCount val="1"/>
                <c:pt idx="0">
                  <c:v>Average percentage repaid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tables_pivot!$B$27:$B$29</c:f>
              <c:strCache>
                <c:ptCount val="3"/>
                <c:pt idx="0">
                  <c:v>Development</c:v>
                </c:pt>
                <c:pt idx="1">
                  <c:v>Bridging</c:v>
                </c:pt>
                <c:pt idx="2">
                  <c:v>BTL</c:v>
                </c:pt>
              </c:strCache>
            </c:strRef>
          </c:cat>
          <c:val>
            <c:numRef>
              <c:f>tables_pivot!$D$27:$D$29</c:f>
              <c:numCache>
                <c:formatCode>0.00%</c:formatCode>
                <c:ptCount val="3"/>
                <c:pt idx="0">
                  <c:v>2.7241161616161615E-2</c:v>
                </c:pt>
                <c:pt idx="1">
                  <c:v>1.1674107142857142E-2</c:v>
                </c:pt>
                <c:pt idx="2">
                  <c:v>6.3059163059163065E-2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4-4085-AC0C-42384A62A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3537263"/>
        <c:axId val="803536303"/>
      </c:lineChart>
      <c:catAx>
        <c:axId val="758178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Product</a:t>
                </a:r>
                <a:r>
                  <a:rPr lang="en-GB" b="1" baseline="0"/>
                  <a:t> Type</a:t>
                </a:r>
                <a:endParaRPr lang="en-GB" b="1"/>
              </a:p>
            </c:rich>
          </c:tx>
          <c:layout>
            <c:manualLayout>
              <c:xMode val="edge"/>
              <c:yMode val="edge"/>
              <c:x val="0.27329829225892222"/>
              <c:y val="0.917175018303375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179055"/>
        <c:crosses val="autoZero"/>
        <c:auto val="1"/>
        <c:lblAlgn val="ctr"/>
        <c:lblOffset val="100"/>
        <c:noMultiLvlLbl val="0"/>
      </c:catAx>
      <c:valAx>
        <c:axId val="75817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Total Current Balance (£000s)</a:t>
                </a:r>
              </a:p>
            </c:rich>
          </c:tx>
          <c:layout>
            <c:manualLayout>
              <c:xMode val="edge"/>
              <c:yMode val="edge"/>
              <c:x val="2.0779220779220779E-2"/>
              <c:y val="0.150483290614137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178575"/>
        <c:crosses val="autoZero"/>
        <c:crossBetween val="between"/>
        <c:dispUnits>
          <c:builtInUnit val="thousands"/>
        </c:dispUnits>
      </c:valAx>
      <c:valAx>
        <c:axId val="80353630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</a:t>
                </a:r>
                <a:r>
                  <a:rPr lang="en-US" b="1" baseline="0"/>
                  <a:t> Perc</a:t>
                </a:r>
                <a:r>
                  <a:rPr lang="en-US" b="1"/>
                  <a:t>entage Repaid</a:t>
                </a:r>
              </a:p>
            </c:rich>
          </c:tx>
          <c:layout>
            <c:manualLayout>
              <c:xMode val="edge"/>
              <c:yMode val="edge"/>
              <c:x val="0.65699907966049698"/>
              <c:y val="0.284553309345384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537263"/>
        <c:crosses val="max"/>
        <c:crossBetween val="between"/>
      </c:valAx>
      <c:catAx>
        <c:axId val="8035372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035363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532385724511711"/>
          <c:y val="9.0835000672368896E-2"/>
          <c:w val="0.33467614275488289"/>
          <c:h val="0.145553604101042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[portfolio_analysis.xlsx]tables_pivot!PivotTable10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505336832895888"/>
          <c:y val="5.0925925925925923E-2"/>
          <c:w val="0.45505905511811023"/>
          <c:h val="0.625390017647949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tables_pivot!$H$26</c:f>
              <c:strCache>
                <c:ptCount val="1"/>
                <c:pt idx="0">
                  <c:v>Sum of current_balance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tables_pivot!$G$27:$G$31</c:f>
              <c:strCache>
                <c:ptCount val="5"/>
                <c:pt idx="0">
                  <c:v>Acme Brokers</c:v>
                </c:pt>
                <c:pt idx="1">
                  <c:v>Direct</c:v>
                </c:pt>
                <c:pt idx="2">
                  <c:v>Metro Brokers</c:v>
                </c:pt>
                <c:pt idx="3">
                  <c:v>Prime Introducers</c:v>
                </c:pt>
                <c:pt idx="4">
                  <c:v>Smith Finance</c:v>
                </c:pt>
              </c:strCache>
            </c:strRef>
          </c:cat>
          <c:val>
            <c:numRef>
              <c:f>tables_pivot!$H$27:$H$31</c:f>
              <c:numCache>
                <c:formatCode>"£"#,##0</c:formatCode>
                <c:ptCount val="5"/>
                <c:pt idx="0">
                  <c:v>875000</c:v>
                </c:pt>
                <c:pt idx="1">
                  <c:v>1108000</c:v>
                </c:pt>
                <c:pt idx="2">
                  <c:v>1260000</c:v>
                </c:pt>
                <c:pt idx="3">
                  <c:v>1533000</c:v>
                </c:pt>
                <c:pt idx="4">
                  <c:v>1555000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D-4B80-A07C-CB50A9A7D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8444191"/>
        <c:axId val="678446111"/>
      </c:barChart>
      <c:lineChart>
        <c:grouping val="standard"/>
        <c:varyColors val="0"/>
        <c:ser>
          <c:idx val="1"/>
          <c:order val="1"/>
          <c:tx>
            <c:strRef>
              <c:f>tables_pivot!$I$26</c:f>
              <c:strCache>
                <c:ptCount val="1"/>
                <c:pt idx="0">
                  <c:v>Average percentage repaid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tables_pivot!$G$27:$G$31</c:f>
              <c:strCache>
                <c:ptCount val="5"/>
                <c:pt idx="0">
                  <c:v>Acme Brokers</c:v>
                </c:pt>
                <c:pt idx="1">
                  <c:v>Direct</c:v>
                </c:pt>
                <c:pt idx="2">
                  <c:v>Metro Brokers</c:v>
                </c:pt>
                <c:pt idx="3">
                  <c:v>Prime Introducers</c:v>
                </c:pt>
                <c:pt idx="4">
                  <c:v>Smith Finance</c:v>
                </c:pt>
              </c:strCache>
            </c:strRef>
          </c:cat>
          <c:val>
            <c:numRef>
              <c:f>tables_pivot!$I$27:$I$31</c:f>
              <c:numCache>
                <c:formatCode>0.00%</c:formatCode>
                <c:ptCount val="5"/>
                <c:pt idx="0">
                  <c:v>2.8412698412698414E-2</c:v>
                </c:pt>
                <c:pt idx="1">
                  <c:v>1.1319444444444444E-2</c:v>
                </c:pt>
                <c:pt idx="2">
                  <c:v>9.2255892255892258E-2</c:v>
                </c:pt>
                <c:pt idx="3">
                  <c:v>-4.4696969696969699E-3</c:v>
                </c:pt>
                <c:pt idx="4">
                  <c:v>7.1506734006734005E-2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9D-4B80-A07C-CB50A9A7D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8445631"/>
        <c:axId val="678443711"/>
      </c:lineChart>
      <c:catAx>
        <c:axId val="678444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Broker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446111"/>
        <c:crosses val="autoZero"/>
        <c:auto val="1"/>
        <c:lblAlgn val="ctr"/>
        <c:lblOffset val="100"/>
        <c:noMultiLvlLbl val="0"/>
      </c:catAx>
      <c:valAx>
        <c:axId val="67844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Total Current Balance (£000s)</a:t>
                </a:r>
              </a:p>
            </c:rich>
          </c:tx>
          <c:layout>
            <c:manualLayout>
              <c:xMode val="edge"/>
              <c:yMode val="edge"/>
              <c:x val="1.1938439513242661E-2"/>
              <c:y val="0.110094281569966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444191"/>
        <c:crosses val="autoZero"/>
        <c:crossBetween val="between"/>
        <c:dispUnits>
          <c:builtInUnit val="thousands"/>
        </c:dispUnits>
      </c:valAx>
      <c:valAx>
        <c:axId val="67844371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Percentage Repaid</a:t>
                </a:r>
              </a:p>
            </c:rich>
          </c:tx>
          <c:layout>
            <c:manualLayout>
              <c:xMode val="edge"/>
              <c:yMode val="edge"/>
              <c:x val="0.71347377032416404"/>
              <c:y val="0.239631787441609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445631"/>
        <c:crosses val="max"/>
        <c:crossBetween val="between"/>
      </c:valAx>
      <c:catAx>
        <c:axId val="6784456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784437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108477349422229"/>
          <c:y val="3.5014804837929171E-3"/>
          <c:w val="0.27613743736578383"/>
          <c:h val="0.308233343092000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[portfolio_analysis.xlsx]tables_pivot!PivotTable14</c:name>
    <c:fmtId val="2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474999882591649"/>
          <c:y val="4.7311827956989246E-2"/>
          <c:w val="0.48275210074167363"/>
          <c:h val="0.657325256832195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tables_pivot!$M$26</c:f>
              <c:strCache>
                <c:ptCount val="1"/>
                <c:pt idx="0">
                  <c:v>Sum of current_balance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tables_pivot!$L$27:$L$32</c:f>
              <c:strCache>
                <c:ptCount val="6"/>
                <c:pt idx="0">
                  <c:v>London</c:v>
                </c:pt>
                <c:pt idx="1">
                  <c:v>Midlands</c:v>
                </c:pt>
                <c:pt idx="2">
                  <c:v>North West</c:v>
                </c:pt>
                <c:pt idx="3">
                  <c:v>Scotland</c:v>
                </c:pt>
                <c:pt idx="4">
                  <c:v>South East</c:v>
                </c:pt>
                <c:pt idx="5">
                  <c:v>Wales</c:v>
                </c:pt>
              </c:strCache>
            </c:strRef>
          </c:cat>
          <c:val>
            <c:numRef>
              <c:f>tables_pivot!$M$27:$M$32</c:f>
              <c:numCache>
                <c:formatCode>"£"#,##0</c:formatCode>
                <c:ptCount val="6"/>
                <c:pt idx="0">
                  <c:v>2195000</c:v>
                </c:pt>
                <c:pt idx="1">
                  <c:v>1078000</c:v>
                </c:pt>
                <c:pt idx="2">
                  <c:v>930000</c:v>
                </c:pt>
                <c:pt idx="3">
                  <c:v>558000</c:v>
                </c:pt>
                <c:pt idx="4">
                  <c:v>1310000</c:v>
                </c:pt>
                <c:pt idx="5">
                  <c:v>260000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6-4646-863F-BAFD922B6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5119104"/>
        <c:axId val="1495109024"/>
      </c:barChart>
      <c:lineChart>
        <c:grouping val="standard"/>
        <c:varyColors val="0"/>
        <c:ser>
          <c:idx val="1"/>
          <c:order val="1"/>
          <c:tx>
            <c:strRef>
              <c:f>tables_pivot!$N$26</c:f>
              <c:strCache>
                <c:ptCount val="1"/>
                <c:pt idx="0">
                  <c:v>Average percentage repaid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tables_pivot!$L$27:$L$32</c:f>
              <c:strCache>
                <c:ptCount val="6"/>
                <c:pt idx="0">
                  <c:v>London</c:v>
                </c:pt>
                <c:pt idx="1">
                  <c:v>Midlands</c:v>
                </c:pt>
                <c:pt idx="2">
                  <c:v>North West</c:v>
                </c:pt>
                <c:pt idx="3">
                  <c:v>Scotland</c:v>
                </c:pt>
                <c:pt idx="4">
                  <c:v>South East</c:v>
                </c:pt>
                <c:pt idx="5">
                  <c:v>Wales</c:v>
                </c:pt>
              </c:strCache>
            </c:strRef>
          </c:cat>
          <c:val>
            <c:numRef>
              <c:f>tables_pivot!$N$27:$N$32</c:f>
              <c:numCache>
                <c:formatCode>0.00%</c:formatCode>
                <c:ptCount val="6"/>
                <c:pt idx="0">
                  <c:v>2.7518939393939394E-2</c:v>
                </c:pt>
                <c:pt idx="1">
                  <c:v>1.6111111111111111E-2</c:v>
                </c:pt>
                <c:pt idx="2">
                  <c:v>9.375E-2</c:v>
                </c:pt>
                <c:pt idx="3">
                  <c:v>1.8831168831168831E-2</c:v>
                </c:pt>
                <c:pt idx="4">
                  <c:v>4.3767361111111111E-2</c:v>
                </c:pt>
                <c:pt idx="5">
                  <c:v>5.4545454545454543E-2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D6-4646-863F-BAFD922B6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5117184"/>
        <c:axId val="1495120544"/>
      </c:lineChart>
      <c:catAx>
        <c:axId val="1495119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Region</a:t>
                </a:r>
              </a:p>
            </c:rich>
          </c:tx>
          <c:layout>
            <c:manualLayout>
              <c:xMode val="edge"/>
              <c:yMode val="edge"/>
              <c:x val="0.27729606322654071"/>
              <c:y val="0.934601981203962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09024"/>
        <c:crosses val="autoZero"/>
        <c:auto val="1"/>
        <c:lblAlgn val="ctr"/>
        <c:lblOffset val="100"/>
        <c:noMultiLvlLbl val="0"/>
      </c:catAx>
      <c:valAx>
        <c:axId val="149510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Total Current Balance (£000s)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19104"/>
        <c:crosses val="autoZero"/>
        <c:crossBetween val="between"/>
        <c:dispUnits>
          <c:builtInUnit val="thousands"/>
        </c:dispUnits>
      </c:valAx>
      <c:valAx>
        <c:axId val="149512054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Percentage Repaid</a:t>
                </a:r>
              </a:p>
            </c:rich>
          </c:tx>
          <c:layout>
            <c:manualLayout>
              <c:xMode val="edge"/>
              <c:yMode val="edge"/>
              <c:x val="0.72550969006849908"/>
              <c:y val="0.213711812929967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17184"/>
        <c:crosses val="max"/>
        <c:crossBetween val="between"/>
      </c:valAx>
      <c:catAx>
        <c:axId val="14951171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951205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773011066809023"/>
          <c:y val="3.6020997375328108E-2"/>
          <c:w val="0.28226988933190972"/>
          <c:h val="0.218280585894505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[portfolio_analysis.xlsx]tables_pivot!PivotTable17</c:name>
    <c:fmtId val="3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522073057763069"/>
          <c:y val="4.5360810013536812E-2"/>
          <c:w val="0.53078707184298801"/>
          <c:h val="0.760007221363025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tables_pivot!$C$35</c:f>
              <c:strCache>
                <c:ptCount val="1"/>
                <c:pt idx="0">
                  <c:v>Sum of current_balance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tables_pivot!$B$36:$B$38</c:f>
              <c:strCache>
                <c:ptCount val="3"/>
                <c:pt idx="0">
                  <c:v>Bridging</c:v>
                </c:pt>
                <c:pt idx="1">
                  <c:v>BTL</c:v>
                </c:pt>
                <c:pt idx="2">
                  <c:v>Development</c:v>
                </c:pt>
              </c:strCache>
            </c:strRef>
          </c:cat>
          <c:val>
            <c:numRef>
              <c:f>tables_pivot!$C$36:$C$38</c:f>
              <c:numCache>
                <c:formatCode>"£"#,##0</c:formatCode>
                <c:ptCount val="3"/>
                <c:pt idx="0">
                  <c:v>1555000</c:v>
                </c:pt>
                <c:pt idx="1">
                  <c:v>1491000</c:v>
                </c:pt>
                <c:pt idx="2">
                  <c:v>3285000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9-47AE-927A-7D964E37E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7359072"/>
        <c:axId val="1537349952"/>
      </c:barChart>
      <c:lineChart>
        <c:grouping val="standard"/>
        <c:varyColors val="0"/>
        <c:ser>
          <c:idx val="1"/>
          <c:order val="1"/>
          <c:tx>
            <c:strRef>
              <c:f>tables_pivot!$D$35</c:f>
              <c:strCache>
                <c:ptCount val="1"/>
                <c:pt idx="0">
                  <c:v>Average of ltv_at_origination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tables_pivot!$B$36:$B$38</c:f>
              <c:strCache>
                <c:ptCount val="3"/>
                <c:pt idx="0">
                  <c:v>Bridging</c:v>
                </c:pt>
                <c:pt idx="1">
                  <c:v>BTL</c:v>
                </c:pt>
                <c:pt idx="2">
                  <c:v>Development</c:v>
                </c:pt>
              </c:strCache>
            </c:strRef>
          </c:cat>
          <c:val>
            <c:numRef>
              <c:f>tables_pivot!$D$36:$D$38</c:f>
              <c:numCache>
                <c:formatCode>General</c:formatCode>
                <c:ptCount val="3"/>
                <c:pt idx="0">
                  <c:v>74.650000000000006</c:v>
                </c:pt>
                <c:pt idx="1">
                  <c:v>65.7</c:v>
                </c:pt>
                <c:pt idx="2">
                  <c:v>74.724999999999994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99-47AE-927A-7D964E37E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7354272"/>
        <c:axId val="1537348992"/>
      </c:lineChart>
      <c:catAx>
        <c:axId val="1537359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Product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349952"/>
        <c:crosses val="autoZero"/>
        <c:auto val="1"/>
        <c:lblAlgn val="ctr"/>
        <c:lblOffset val="100"/>
        <c:noMultiLvlLbl val="0"/>
      </c:catAx>
      <c:valAx>
        <c:axId val="153734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Total Current Balance (£000s)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359072"/>
        <c:crosses val="autoZero"/>
        <c:crossBetween val="between"/>
        <c:dispUnits>
          <c:builtInUnit val="thousands"/>
        </c:dispUnits>
      </c:valAx>
      <c:valAx>
        <c:axId val="15373489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of LTV at Origination</a:t>
                </a:r>
              </a:p>
            </c:rich>
          </c:tx>
          <c:layout>
            <c:manualLayout>
              <c:xMode val="edge"/>
              <c:yMode val="edge"/>
              <c:x val="0.72796002590973952"/>
              <c:y val="0.233385101587758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354272"/>
        <c:crosses val="max"/>
        <c:crossBetween val="between"/>
      </c:valAx>
      <c:catAx>
        <c:axId val="15373542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37348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877303617161872"/>
          <c:y val="3.3510803404750343E-2"/>
          <c:w val="0.24082045869744151"/>
          <c:h val="0.238071771855653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[portfolio_analysis.xlsx]tables_pivot!PivotTable4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95728478767968"/>
          <c:y val="4.5128205128205132E-2"/>
          <c:w val="0.52432202554796481"/>
          <c:h val="0.640802099737532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tables_pivot!$H$35</c:f>
              <c:strCache>
                <c:ptCount val="1"/>
                <c:pt idx="0">
                  <c:v>Sum of current_balance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tables_pivot!$G$36:$G$40</c:f>
              <c:strCache>
                <c:ptCount val="5"/>
                <c:pt idx="0">
                  <c:v>Acme Brokers</c:v>
                </c:pt>
                <c:pt idx="1">
                  <c:v>Direct</c:v>
                </c:pt>
                <c:pt idx="2">
                  <c:v>Metro Brokers</c:v>
                </c:pt>
                <c:pt idx="3">
                  <c:v>Prime Introducers</c:v>
                </c:pt>
                <c:pt idx="4">
                  <c:v>Smith Finance</c:v>
                </c:pt>
              </c:strCache>
            </c:strRef>
          </c:cat>
          <c:val>
            <c:numRef>
              <c:f>tables_pivot!$H$36:$H$40</c:f>
              <c:numCache>
                <c:formatCode>"£"#,##0</c:formatCode>
                <c:ptCount val="5"/>
                <c:pt idx="0">
                  <c:v>875000</c:v>
                </c:pt>
                <c:pt idx="1">
                  <c:v>1108000</c:v>
                </c:pt>
                <c:pt idx="2">
                  <c:v>1260000</c:v>
                </c:pt>
                <c:pt idx="3">
                  <c:v>1533000</c:v>
                </c:pt>
                <c:pt idx="4">
                  <c:v>1555000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4-4050-957E-B75A253A9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0538256"/>
        <c:axId val="1495119584"/>
      </c:barChart>
      <c:lineChart>
        <c:grouping val="standard"/>
        <c:varyColors val="0"/>
        <c:ser>
          <c:idx val="1"/>
          <c:order val="1"/>
          <c:tx>
            <c:strRef>
              <c:f>tables_pivot!$I$35</c:f>
              <c:strCache>
                <c:ptCount val="1"/>
                <c:pt idx="0">
                  <c:v>Average of ltv_at_origination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tables_pivot!$G$36:$G$40</c:f>
              <c:strCache>
                <c:ptCount val="5"/>
                <c:pt idx="0">
                  <c:v>Acme Brokers</c:v>
                </c:pt>
                <c:pt idx="1">
                  <c:v>Direct</c:v>
                </c:pt>
                <c:pt idx="2">
                  <c:v>Metro Brokers</c:v>
                </c:pt>
                <c:pt idx="3">
                  <c:v>Prime Introducers</c:v>
                </c:pt>
                <c:pt idx="4">
                  <c:v>Smith Finance</c:v>
                </c:pt>
              </c:strCache>
            </c:strRef>
          </c:cat>
          <c:val>
            <c:numRef>
              <c:f>tables_pivot!$I$36:$I$40</c:f>
              <c:numCache>
                <c:formatCode>0.00</c:formatCode>
                <c:ptCount val="5"/>
                <c:pt idx="0">
                  <c:v>73.366666666666674</c:v>
                </c:pt>
                <c:pt idx="1">
                  <c:v>67.666666666666671</c:v>
                </c:pt>
                <c:pt idx="2">
                  <c:v>65.36666666666666</c:v>
                </c:pt>
                <c:pt idx="3">
                  <c:v>75.966666666666669</c:v>
                </c:pt>
                <c:pt idx="4">
                  <c:v>70.100000000000009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64-4050-957E-B75A253A9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6660032"/>
        <c:axId val="1746652832"/>
      </c:lineChart>
      <c:catAx>
        <c:axId val="330538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Broker</a:t>
                </a:r>
              </a:p>
            </c:rich>
          </c:tx>
          <c:layout>
            <c:manualLayout>
              <c:xMode val="edge"/>
              <c:yMode val="edge"/>
              <c:x val="0.31678665214399571"/>
              <c:y val="0.913004966686856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19584"/>
        <c:crosses val="autoZero"/>
        <c:auto val="1"/>
        <c:lblAlgn val="ctr"/>
        <c:lblOffset val="100"/>
        <c:noMultiLvlLbl val="0"/>
      </c:catAx>
      <c:valAx>
        <c:axId val="149511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Total Current Balance (£000s)</a:t>
                </a:r>
              </a:p>
            </c:rich>
          </c:tx>
          <c:layout>
            <c:manualLayout>
              <c:xMode val="edge"/>
              <c:yMode val="edge"/>
              <c:x val="1.5609754498712811E-2"/>
              <c:y val="0.114021562689279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538256"/>
        <c:crosses val="autoZero"/>
        <c:crossBetween val="between"/>
        <c:dispUnits>
          <c:builtInUnit val="thousands"/>
        </c:dispUnits>
      </c:valAx>
      <c:valAx>
        <c:axId val="17466528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of LTV at Origination</a:t>
                </a:r>
              </a:p>
            </c:rich>
          </c:tx>
          <c:layout>
            <c:manualLayout>
              <c:xMode val="edge"/>
              <c:yMode val="edge"/>
              <c:x val="0.74043477468179764"/>
              <c:y val="0.209436866545527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660032"/>
        <c:crosses val="max"/>
        <c:crossBetween val="between"/>
      </c:valAx>
      <c:catAx>
        <c:axId val="17466600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466528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137471338585604"/>
          <c:y val="3.3332202705431045E-2"/>
          <c:w val="0.24862528661414388"/>
          <c:h val="0.227694245911568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[portfolio_analysis.xlsx]tables_pivot!PivotTable6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569450404547107"/>
          <c:y val="4.7439361154464191E-2"/>
          <c:w val="0.53708663605229101"/>
          <c:h val="0.736800176038402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tables_pivot!$M$35</c:f>
              <c:strCache>
                <c:ptCount val="1"/>
                <c:pt idx="0">
                  <c:v>Sum of current_balance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tables_pivot!$L$36:$L$41</c:f>
              <c:strCache>
                <c:ptCount val="6"/>
                <c:pt idx="0">
                  <c:v>London</c:v>
                </c:pt>
                <c:pt idx="1">
                  <c:v>Midlands</c:v>
                </c:pt>
                <c:pt idx="2">
                  <c:v>North West</c:v>
                </c:pt>
                <c:pt idx="3">
                  <c:v>Scotland</c:v>
                </c:pt>
                <c:pt idx="4">
                  <c:v>South East</c:v>
                </c:pt>
                <c:pt idx="5">
                  <c:v>Wales</c:v>
                </c:pt>
              </c:strCache>
            </c:strRef>
          </c:cat>
          <c:val>
            <c:numRef>
              <c:f>tables_pivot!$M$36:$M$41</c:f>
              <c:numCache>
                <c:formatCode>"£"#,##0</c:formatCode>
                <c:ptCount val="6"/>
                <c:pt idx="0">
                  <c:v>2195000</c:v>
                </c:pt>
                <c:pt idx="1">
                  <c:v>1078000</c:v>
                </c:pt>
                <c:pt idx="2">
                  <c:v>930000</c:v>
                </c:pt>
                <c:pt idx="3">
                  <c:v>558000</c:v>
                </c:pt>
                <c:pt idx="4">
                  <c:v>1310000</c:v>
                </c:pt>
                <c:pt idx="5">
                  <c:v>260000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C-4BB4-8277-AE0C7FD80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3328512"/>
        <c:axId val="1613328032"/>
      </c:barChart>
      <c:lineChart>
        <c:grouping val="standard"/>
        <c:varyColors val="0"/>
        <c:ser>
          <c:idx val="1"/>
          <c:order val="1"/>
          <c:tx>
            <c:strRef>
              <c:f>tables_pivot!$N$35</c:f>
              <c:strCache>
                <c:ptCount val="1"/>
                <c:pt idx="0">
                  <c:v>Average of ltv_at_origination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tables_pivot!$L$36:$L$41</c:f>
              <c:strCache>
                <c:ptCount val="6"/>
                <c:pt idx="0">
                  <c:v>London</c:v>
                </c:pt>
                <c:pt idx="1">
                  <c:v>Midlands</c:v>
                </c:pt>
                <c:pt idx="2">
                  <c:v>North West</c:v>
                </c:pt>
                <c:pt idx="3">
                  <c:v>Scotland</c:v>
                </c:pt>
                <c:pt idx="4">
                  <c:v>South East</c:v>
                </c:pt>
                <c:pt idx="5">
                  <c:v>Wales</c:v>
                </c:pt>
              </c:strCache>
            </c:strRef>
          </c:cat>
          <c:val>
            <c:numRef>
              <c:f>tables_pivot!$N$36:$N$41</c:f>
              <c:numCache>
                <c:formatCode>General</c:formatCode>
                <c:ptCount val="6"/>
                <c:pt idx="0">
                  <c:v>74.475000000000009</c:v>
                </c:pt>
                <c:pt idx="1">
                  <c:v>66.05</c:v>
                </c:pt>
                <c:pt idx="2">
                  <c:v>70</c:v>
                </c:pt>
                <c:pt idx="3">
                  <c:v>72.349999999999994</c:v>
                </c:pt>
                <c:pt idx="4">
                  <c:v>70.399999999999991</c:v>
                </c:pt>
                <c:pt idx="5">
                  <c:v>61.1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0C-4BB4-8277-AE0C7FD80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2985120"/>
        <c:axId val="1602986080"/>
      </c:lineChart>
      <c:catAx>
        <c:axId val="1613328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Region</a:t>
                </a:r>
              </a:p>
            </c:rich>
          </c:tx>
          <c:layout>
            <c:manualLayout>
              <c:xMode val="edge"/>
              <c:yMode val="edge"/>
              <c:x val="0.34589188620396538"/>
              <c:y val="0.920375988815179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328032"/>
        <c:crosses val="autoZero"/>
        <c:auto val="1"/>
        <c:lblAlgn val="ctr"/>
        <c:lblOffset val="100"/>
        <c:noMultiLvlLbl val="0"/>
      </c:catAx>
      <c:valAx>
        <c:axId val="161332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Total Current Balance (£000s)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328512"/>
        <c:crosses val="autoZero"/>
        <c:crossBetween val="between"/>
        <c:dispUnits>
          <c:builtInUnit val="thousands"/>
        </c:dispUnits>
      </c:valAx>
      <c:valAx>
        <c:axId val="1602986080"/>
        <c:scaling>
          <c:orientation val="minMax"/>
          <c:min val="6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of LTV at Origination</a:t>
                </a:r>
              </a:p>
            </c:rich>
          </c:tx>
          <c:layout>
            <c:manualLayout>
              <c:xMode val="edge"/>
              <c:yMode val="edge"/>
              <c:x val="0.74012318098619601"/>
              <c:y val="0.226926138316539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985120"/>
        <c:crosses val="max"/>
        <c:crossBetween val="between"/>
      </c:valAx>
      <c:catAx>
        <c:axId val="16029851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02986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968262658847016"/>
          <c:y val="3.9621544601149424E-2"/>
          <c:w val="0.25726680379013206"/>
          <c:h val="0.2393551778517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[portfolio_analysis.xlsx]tables_pivot!PivotTable18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tables_pivot!$S$5:$S$6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tables_pivot!$R$7:$R$9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tables_pivot!$S$7:$S$9</c:f>
              <c:numCache>
                <c:formatCode>"£"#,##0</c:formatCode>
                <c:ptCount val="3"/>
                <c:pt idx="0">
                  <c:v>458000</c:v>
                </c:pt>
                <c:pt idx="1">
                  <c:v>1208000</c:v>
                </c:pt>
                <c:pt idx="2">
                  <c:v>1995000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9-4EBE-A77F-5E30599A1B0F}"/>
            </c:ext>
          </c:extLst>
        </c:ser>
        <c:ser>
          <c:idx val="1"/>
          <c:order val="1"/>
          <c:tx>
            <c:strRef>
              <c:f>tables_pivot!$T$5:$T$6</c:f>
              <c:strCache>
                <c:ptCount val="1"/>
                <c:pt idx="0">
                  <c:v>InArrears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tables_pivot!$R$7:$R$9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tables_pivot!$T$7:$T$9</c:f>
              <c:numCache>
                <c:formatCode>"£"#,##0</c:formatCode>
                <c:ptCount val="3"/>
                <c:pt idx="0">
                  <c:v>120000</c:v>
                </c:pt>
                <c:pt idx="1">
                  <c:v>580000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89-4EBE-A77F-5E30599A1B0F}"/>
            </c:ext>
          </c:extLst>
        </c:ser>
        <c:ser>
          <c:idx val="2"/>
          <c:order val="2"/>
          <c:tx>
            <c:strRef>
              <c:f>tables_pivot!$U$5:$U$6</c:f>
              <c:strCache>
                <c:ptCount val="1"/>
                <c:pt idx="0">
                  <c:v>Defaulted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tables_pivot!$R$7:$R$9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tables_pivot!$U$7:$U$9</c:f>
              <c:numCache>
                <c:formatCode>"£"#,##0</c:formatCode>
                <c:ptCount val="3"/>
                <c:pt idx="0">
                  <c:v>160000</c:v>
                </c:pt>
                <c:pt idx="1">
                  <c:v>1000000</c:v>
                </c:pt>
                <c:pt idx="2">
                  <c:v>810000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89-4EBE-A77F-5E30599A1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11275744"/>
        <c:axId val="2111267104"/>
      </c:barChart>
      <c:catAx>
        <c:axId val="21112757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LTV Band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267104"/>
        <c:crosses val="autoZero"/>
        <c:auto val="1"/>
        <c:lblAlgn val="ctr"/>
        <c:lblOffset val="100"/>
        <c:noMultiLvlLbl val="0"/>
      </c:catAx>
      <c:valAx>
        <c:axId val="211126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Total Current Balance (£000s)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27574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9</xdr:col>
      <xdr:colOff>9072</xdr:colOff>
      <xdr:row>3</xdr:row>
      <xdr:rowOff>45356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2785F9-D0FA-44B3-970B-BF2197387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-1</xdr:colOff>
      <xdr:row>4</xdr:row>
      <xdr:rowOff>17637</xdr:rowOff>
    </xdr:from>
    <xdr:to>
      <xdr:col>8</xdr:col>
      <xdr:colOff>608541</xdr:colOff>
      <xdr:row>20</xdr:row>
      <xdr:rowOff>123471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8E7731-5006-4677-A4A1-8C492E14B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611186</xdr:colOff>
      <xdr:row>4</xdr:row>
      <xdr:rowOff>44096</xdr:rowOff>
    </xdr:from>
    <xdr:to>
      <xdr:col>17</xdr:col>
      <xdr:colOff>608541</xdr:colOff>
      <xdr:row>20</xdr:row>
      <xdr:rowOff>150811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A5BD433-0223-4CEF-9F0C-488FBD7AC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-1</xdr:colOff>
      <xdr:row>4</xdr:row>
      <xdr:rowOff>23812</xdr:rowOff>
    </xdr:from>
    <xdr:to>
      <xdr:col>26</xdr:col>
      <xdr:colOff>608541</xdr:colOff>
      <xdr:row>20</xdr:row>
      <xdr:rowOff>150812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4094582-F3CE-4816-B939-401B243633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595313</xdr:colOff>
      <xdr:row>23</xdr:row>
      <xdr:rowOff>41451</xdr:rowOff>
    </xdr:from>
    <xdr:to>
      <xdr:col>29</xdr:col>
      <xdr:colOff>0</xdr:colOff>
      <xdr:row>39</xdr:row>
      <xdr:rowOff>147285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EEC382C-3439-44B4-A2B2-D7C7FE24B9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24</xdr:row>
      <xdr:rowOff>15875</xdr:rowOff>
    </xdr:from>
    <xdr:to>
      <xdr:col>9</xdr:col>
      <xdr:colOff>0</xdr:colOff>
      <xdr:row>40</xdr:row>
      <xdr:rowOff>39687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4F91263-EA01-486C-A598-EA2FE8497D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24</xdr:row>
      <xdr:rowOff>23812</xdr:rowOff>
    </xdr:from>
    <xdr:to>
      <xdr:col>18</xdr:col>
      <xdr:colOff>0</xdr:colOff>
      <xdr:row>40</xdr:row>
      <xdr:rowOff>55563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494E179-38AD-409A-9D2A-A9F2CD3502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7937</xdr:colOff>
      <xdr:row>24</xdr:row>
      <xdr:rowOff>31750</xdr:rowOff>
    </xdr:from>
    <xdr:to>
      <xdr:col>27</xdr:col>
      <xdr:colOff>15874</xdr:colOff>
      <xdr:row>40</xdr:row>
      <xdr:rowOff>71438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24778C5-00AF-4C8D-9458-71A1D2AE9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42</xdr:row>
      <xdr:rowOff>15874</xdr:rowOff>
    </xdr:from>
    <xdr:to>
      <xdr:col>8</xdr:col>
      <xdr:colOff>603250</xdr:colOff>
      <xdr:row>58</xdr:row>
      <xdr:rowOff>174625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E004962-EDD0-4E24-9FF8-51A34260F2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611185</xdr:colOff>
      <xdr:row>42</xdr:row>
      <xdr:rowOff>15874</xdr:rowOff>
    </xdr:from>
    <xdr:to>
      <xdr:col>17</xdr:col>
      <xdr:colOff>603248</xdr:colOff>
      <xdr:row>59</xdr:row>
      <xdr:rowOff>7937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4A003C1-78A2-4C49-8A6F-BB445221D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23812</xdr:colOff>
      <xdr:row>42</xdr:row>
      <xdr:rowOff>7938</xdr:rowOff>
    </xdr:from>
    <xdr:to>
      <xdr:col>26</xdr:col>
      <xdr:colOff>611186</xdr:colOff>
      <xdr:row>59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8F757E2-B8AE-4EB8-9EDD-6CDB8230CD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29</xdr:col>
      <xdr:colOff>603250</xdr:colOff>
      <xdr:row>4</xdr:row>
      <xdr:rowOff>15875</xdr:rowOff>
    </xdr:from>
    <xdr:to>
      <xdr:col>37</xdr:col>
      <xdr:colOff>603250</xdr:colOff>
      <xdr:row>19</xdr:row>
      <xdr:rowOff>158750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61CB65C-D6A1-4DAA-87B2-07DF586962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6.501337152775" createdVersion="8" refreshedVersion="8" minRefreshableVersion="3" recordCount="15" xr:uid="{641C9858-9517-47BC-8235-9F93AADE4FB5}">
  <cacheSource type="worksheet">
    <worksheetSource name="Table2"/>
  </cacheSource>
  <cacheFields count="13">
    <cacheField name="loan_id" numFmtId="0">
      <sharedItems containsSemiMixedTypes="0" containsString="0" containsNumber="1" containsInteger="1" minValue="1" maxValue="15"/>
    </cacheField>
    <cacheField name="borrower_segment" numFmtId="0">
      <sharedItems/>
    </cacheField>
    <cacheField name="broker_name" numFmtId="0">
      <sharedItems count="5">
        <s v="Acme Brokers"/>
        <s v="Prime Introducers"/>
        <s v="Direct"/>
        <s v="Smith Finance"/>
        <s v="Metro Brokers"/>
      </sharedItems>
    </cacheField>
    <cacheField name="product_type" numFmtId="0">
      <sharedItems count="3">
        <s v="BTL"/>
        <s v="Bridging"/>
        <s v="Development"/>
      </sharedItems>
    </cacheField>
    <cacheField name="region" numFmtId="0">
      <sharedItems count="6">
        <s v="London"/>
        <s v="South East"/>
        <s v="North West"/>
        <s v="Midlands"/>
        <s v="Scotland"/>
        <s v="Wales"/>
      </sharedItems>
    </cacheField>
    <cacheField name="origination_date" numFmtId="14">
      <sharedItems containsSemiMixedTypes="0" containsNonDate="0" containsDate="1" containsString="0" minDate="2022-11-11T00:00:00" maxDate="2024-06-21T00:00:00"/>
    </cacheField>
    <cacheField name="original_balance" numFmtId="164">
      <sharedItems containsSemiMixedTypes="0" containsString="0" containsNumber="1" containsInteger="1" minValue="150000" maxValue="1100000"/>
    </cacheField>
    <cacheField name="current_balance" numFmtId="164">
      <sharedItems containsSemiMixedTypes="0" containsString="0" containsNumber="1" containsInteger="1" minValue="120000" maxValue="1000000"/>
    </cacheField>
    <cacheField name="interest_rate" numFmtId="0">
      <sharedItems containsSemiMixedTypes="0" containsString="0" containsNumber="1" minValue="5" maxValue="8.9"/>
    </cacheField>
    <cacheField name="status" numFmtId="0">
      <sharedItems count="3">
        <s v="Current"/>
        <s v="InArrears"/>
        <s v="Defaulted"/>
      </sharedItems>
    </cacheField>
    <cacheField name="arrears_days" numFmtId="0">
      <sharedItems containsSemiMixedTypes="0" containsString="0" containsNumber="1" containsInteger="1" minValue="0" maxValue="180"/>
    </cacheField>
    <cacheField name="property_value" numFmtId="164">
      <sharedItems containsSemiMixedTypes="0" containsString="0" containsNumber="1" containsInteger="1" minValue="250000" maxValue="1500000"/>
    </cacheField>
    <cacheField name="ltv_at_origination" numFmtId="0">
      <sharedItems containsSemiMixedTypes="0" containsString="0" containsNumber="1" minValue="57.1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Whiteley" refreshedDate="46106.751222800929" createdVersion="8" refreshedVersion="8" minRefreshableVersion="3" recordCount="15" xr:uid="{4B753697-DC74-4AFE-97AC-BEF8C8A84E74}">
  <cacheSource type="worksheet">
    <worksheetSource name="Table22"/>
  </cacheSource>
  <cacheFields count="14">
    <cacheField name="loan_id" numFmtId="0">
      <sharedItems containsSemiMixedTypes="0" containsString="0" containsNumber="1" containsInteger="1" minValue="1" maxValue="15"/>
    </cacheField>
    <cacheField name="borrower_segment" numFmtId="0">
      <sharedItems/>
    </cacheField>
    <cacheField name="broker_name" numFmtId="0">
      <sharedItems count="5">
        <s v="Acme Brokers"/>
        <s v="Prime Introducers"/>
        <s v="Direct"/>
        <s v="Smith Finance"/>
        <s v="Metro Brokers"/>
      </sharedItems>
    </cacheField>
    <cacheField name="product_type" numFmtId="0">
      <sharedItems/>
    </cacheField>
    <cacheField name="region" numFmtId="0">
      <sharedItems count="6">
        <s v="London"/>
        <s v="South East"/>
        <s v="North West"/>
        <s v="Midlands"/>
        <s v="Scotland"/>
        <s v="Wales"/>
      </sharedItems>
    </cacheField>
    <cacheField name="origination_date" numFmtId="14">
      <sharedItems containsSemiMixedTypes="0" containsNonDate="0" containsDate="1" containsString="0" minDate="2022-11-11T00:00:00" maxDate="2024-06-21T00:00:00"/>
    </cacheField>
    <cacheField name="original_balance" numFmtId="165">
      <sharedItems containsSemiMixedTypes="0" containsString="0" containsNumber="1" containsInteger="1" minValue="150000" maxValue="1100000"/>
    </cacheField>
    <cacheField name="current_balance" numFmtId="165">
      <sharedItems containsSemiMixedTypes="0" containsString="0" containsNumber="1" containsInteger="1" minValue="120000" maxValue="1000000"/>
    </cacheField>
    <cacheField name="interest_rate" numFmtId="0">
      <sharedItems containsSemiMixedTypes="0" containsString="0" containsNumber="1" minValue="5" maxValue="8.9"/>
    </cacheField>
    <cacheField name="status" numFmtId="0">
      <sharedItems count="3">
        <s v="Current"/>
        <s v="InArrears"/>
        <s v="Defaulted"/>
      </sharedItems>
    </cacheField>
    <cacheField name="arrears_days" numFmtId="0">
      <sharedItems containsSemiMixedTypes="0" containsString="0" containsNumber="1" containsInteger="1" minValue="0" maxValue="180"/>
    </cacheField>
    <cacheField name="property_value" numFmtId="165">
      <sharedItems containsSemiMixedTypes="0" containsString="0" containsNumber="1" containsInteger="1" minValue="250000" maxValue="1500000"/>
    </cacheField>
    <cacheField name="ltv_at_origination" numFmtId="0">
      <sharedItems containsSemiMixedTypes="0" containsString="0" containsNumber="1" minValue="57.1" maxValue="80"/>
    </cacheField>
    <cacheField name="percentage_paid" numFmtId="10">
      <sharedItems containsSemiMixedTypes="0" containsString="0" containsNumber="1" minValue="-1.2500000000000001E-2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Whiteley" refreshedDate="46106.802585879632" createdVersion="8" refreshedVersion="8" minRefreshableVersion="3" recordCount="15" xr:uid="{27734BAF-1820-4421-A66A-D397572FDFDA}">
  <cacheSource type="worksheet">
    <worksheetSource name="Table24"/>
  </cacheSource>
  <cacheFields count="14">
    <cacheField name="loan_id" numFmtId="0">
      <sharedItems containsSemiMixedTypes="0" containsString="0" containsNumber="1" containsInteger="1" minValue="1" maxValue="15"/>
    </cacheField>
    <cacheField name="borrower_segment" numFmtId="0">
      <sharedItems/>
    </cacheField>
    <cacheField name="broker_name" numFmtId="0">
      <sharedItems/>
    </cacheField>
    <cacheField name="product_type" numFmtId="0">
      <sharedItems count="3">
        <s v="BTL"/>
        <s v="Bridging"/>
        <s v="Development"/>
      </sharedItems>
    </cacheField>
    <cacheField name="region" numFmtId="0">
      <sharedItems/>
    </cacheField>
    <cacheField name="origination_date" numFmtId="14">
      <sharedItems containsSemiMixedTypes="0" containsNonDate="0" containsDate="1" containsString="0" minDate="2022-11-11T00:00:00" maxDate="2024-06-21T00:00:00"/>
    </cacheField>
    <cacheField name="original_balance" numFmtId="165">
      <sharedItems containsSemiMixedTypes="0" containsString="0" containsNumber="1" containsInteger="1" minValue="150000" maxValue="1100000"/>
    </cacheField>
    <cacheField name="current_balance" numFmtId="165">
      <sharedItems containsSemiMixedTypes="0" containsString="0" containsNumber="1" containsInteger="1" minValue="120000" maxValue="1000000"/>
    </cacheField>
    <cacheField name="interest_rate" numFmtId="0">
      <sharedItems containsSemiMixedTypes="0" containsString="0" containsNumber="1" minValue="5" maxValue="8.9"/>
    </cacheField>
    <cacheField name="status" numFmtId="0">
      <sharedItems/>
    </cacheField>
    <cacheField name="arrears_days" numFmtId="0">
      <sharedItems containsSemiMixedTypes="0" containsString="0" containsNumber="1" containsInteger="1" minValue="0" maxValue="180"/>
    </cacheField>
    <cacheField name="property_value" numFmtId="165">
      <sharedItems containsSemiMixedTypes="0" containsString="0" containsNumber="1" containsInteger="1" minValue="250000" maxValue="1500000"/>
    </cacheField>
    <cacheField name="ltv_at_origination" numFmtId="0">
      <sharedItems containsSemiMixedTypes="0" containsString="0" containsNumber="1" minValue="57.1" maxValue="80"/>
    </cacheField>
    <cacheField name="percentage_paid" numFmtId="10">
      <sharedItems containsSemiMixedTypes="0" containsString="0" containsNumber="1" minValue="-1.2500000000000001E-2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Whiteley" refreshedDate="46106.857328587961" createdVersion="8" refreshedVersion="8" minRefreshableVersion="3" recordCount="15" xr:uid="{6D1382D4-232C-4CDC-8A91-615E56915441}">
  <cacheSource type="worksheet">
    <worksheetSource name="Table224"/>
  </cacheSource>
  <cacheFields count="15">
    <cacheField name="loan_id" numFmtId="0">
      <sharedItems containsSemiMixedTypes="0" containsString="0" containsNumber="1" containsInteger="1" minValue="1" maxValue="15"/>
    </cacheField>
    <cacheField name="borrower_segment" numFmtId="0">
      <sharedItems/>
    </cacheField>
    <cacheField name="broker_name" numFmtId="0">
      <sharedItems/>
    </cacheField>
    <cacheField name="product_type" numFmtId="0">
      <sharedItems/>
    </cacheField>
    <cacheField name="region" numFmtId="0">
      <sharedItems/>
    </cacheField>
    <cacheField name="origination_date" numFmtId="14">
      <sharedItems containsSemiMixedTypes="0" containsNonDate="0" containsDate="1" containsString="0" minDate="2022-11-11T00:00:00" maxDate="2024-06-21T00:00:00"/>
    </cacheField>
    <cacheField name="original_balance" numFmtId="165">
      <sharedItems containsSemiMixedTypes="0" containsString="0" containsNumber="1" containsInteger="1" minValue="150000" maxValue="1100000"/>
    </cacheField>
    <cacheField name="current_balance" numFmtId="165">
      <sharedItems containsSemiMixedTypes="0" containsString="0" containsNumber="1" containsInteger="1" minValue="120000" maxValue="1000000"/>
    </cacheField>
    <cacheField name="interest_rate" numFmtId="0">
      <sharedItems containsSemiMixedTypes="0" containsString="0" containsNumber="1" minValue="5" maxValue="8.9"/>
    </cacheField>
    <cacheField name="status" numFmtId="0">
      <sharedItems count="3">
        <s v="Current"/>
        <s v="InArrears"/>
        <s v="Defaulted"/>
      </sharedItems>
    </cacheField>
    <cacheField name="arrears_days" numFmtId="0">
      <sharedItems containsSemiMixedTypes="0" containsString="0" containsNumber="1" containsInteger="1" minValue="0" maxValue="180"/>
    </cacheField>
    <cacheField name="property_value" numFmtId="165">
      <sharedItems containsSemiMixedTypes="0" containsString="0" containsNumber="1" containsInteger="1" minValue="250000" maxValue="1500000"/>
    </cacheField>
    <cacheField name="ltv_at_origination" numFmtId="0">
      <sharedItems containsSemiMixedTypes="0" containsString="0" containsNumber="1" minValue="57.1" maxValue="80"/>
    </cacheField>
    <cacheField name="percentage_repaid" numFmtId="10">
      <sharedItems containsSemiMixedTypes="0" containsString="0" containsNumber="1" minValue="-1.2500000000000001E-2" maxValue="0.2"/>
    </cacheField>
    <cacheField name="ltv-band" numFmtId="0">
      <sharedItems count="3">
        <s v="high"/>
        <s v="medium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Whiteley" refreshedDate="46106.915955092591" createdVersion="8" refreshedVersion="8" minRefreshableVersion="3" recordCount="15" xr:uid="{BFBC2FC1-0A9F-470D-B781-D4FDFCE5925C}">
  <cacheSource type="worksheet">
    <worksheetSource ref="A1:O16" sheet="Sheet2"/>
  </cacheSource>
  <cacheFields count="15">
    <cacheField name="loan_id" numFmtId="0">
      <sharedItems containsSemiMixedTypes="0" containsString="0" containsNumber="1" containsInteger="1" minValue="1" maxValue="15"/>
    </cacheField>
    <cacheField name="borrower_segment" numFmtId="0">
      <sharedItems/>
    </cacheField>
    <cacheField name="broker_name" numFmtId="0">
      <sharedItems count="5">
        <s v="Acme Brokers"/>
        <s v="Prime Introducers"/>
        <s v="Direct"/>
        <s v="Smith Finance"/>
        <s v="Metro Brokers"/>
      </sharedItems>
    </cacheField>
    <cacheField name="product_type" numFmtId="0">
      <sharedItems/>
    </cacheField>
    <cacheField name="region" numFmtId="0">
      <sharedItems count="6">
        <s v="London"/>
        <s v="South East"/>
        <s v="North West"/>
        <s v="Midlands"/>
        <s v="Scotland"/>
        <s v="Wales"/>
      </sharedItems>
    </cacheField>
    <cacheField name="origination_date" numFmtId="0">
      <sharedItems containsSemiMixedTypes="0" containsString="0" containsNumber="1" containsInteger="1" minValue="44876" maxValue="45463"/>
    </cacheField>
    <cacheField name="original_balance" numFmtId="0">
      <sharedItems containsSemiMixedTypes="0" containsString="0" containsNumber="1" containsInteger="1" minValue="150000" maxValue="1100000"/>
    </cacheField>
    <cacheField name="current_balance" numFmtId="0">
      <sharedItems containsSemiMixedTypes="0" containsString="0" containsNumber="1" containsInteger="1" minValue="120000" maxValue="1000000"/>
    </cacheField>
    <cacheField name="interest_rate" numFmtId="0">
      <sharedItems containsSemiMixedTypes="0" containsString="0" containsNumber="1" minValue="5" maxValue="8.9"/>
    </cacheField>
    <cacheField name="status" numFmtId="0">
      <sharedItems/>
    </cacheField>
    <cacheField name="arrears_days" numFmtId="0">
      <sharedItems containsSemiMixedTypes="0" containsString="0" containsNumber="1" containsInteger="1" minValue="0" maxValue="180"/>
    </cacheField>
    <cacheField name="property_value" numFmtId="0">
      <sharedItems containsSemiMixedTypes="0" containsString="0" containsNumber="1" containsInteger="1" minValue="250000" maxValue="1500000"/>
    </cacheField>
    <cacheField name="ltv_at_origination" numFmtId="0">
      <sharedItems containsSemiMixedTypes="0" containsString="0" containsNumber="1" minValue="57.1" maxValue="80" count="14">
        <n v="75"/>
        <n v="71.400000000000006"/>
        <n v="76.900000000000006"/>
        <n v="80"/>
        <n v="57.1"/>
        <n v="64.3"/>
        <n v="72.7"/>
        <n v="60"/>
        <n v="70.599999999999994"/>
        <n v="73.7"/>
        <n v="71"/>
        <n v="61.1"/>
        <n v="73.3"/>
        <n v="75.3"/>
      </sharedItems>
    </cacheField>
    <cacheField name="percentage_repaid" numFmtId="0">
      <sharedItems containsSemiMixedTypes="0" containsString="0" containsNumber="1" minValue="-1.2500000000000001E-2" maxValue="0.2"/>
    </cacheField>
    <cacheField name="ltv-band" numFmtId="0">
      <sharedItems count="3">
        <s v="high"/>
        <s v="medium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s v="Individual"/>
    <x v="0"/>
    <x v="0"/>
    <x v="0"/>
    <d v="2024-01-15T00:00:00"/>
    <n v="300000"/>
    <n v="295000"/>
    <n v="5.0999999999999996"/>
    <x v="0"/>
    <n v="0"/>
    <n v="400000"/>
    <n v="75"/>
  </r>
  <r>
    <n v="2"/>
    <s v="LtdCo"/>
    <x v="0"/>
    <x v="0"/>
    <x v="1"/>
    <d v="2023-11-03T00:00:00"/>
    <n v="250000"/>
    <n v="240000"/>
    <n v="5.4"/>
    <x v="1"/>
    <n v="45"/>
    <n v="350000"/>
    <n v="71.400000000000006"/>
  </r>
  <r>
    <n v="3"/>
    <s v="Individual"/>
    <x v="1"/>
    <x v="1"/>
    <x v="0"/>
    <d v="2024-06-20T00:00:00"/>
    <n v="500000"/>
    <n v="505000"/>
    <n v="7.5"/>
    <x v="0"/>
    <n v="0"/>
    <n v="650000"/>
    <n v="76.900000000000006"/>
  </r>
  <r>
    <n v="4"/>
    <s v="LLP"/>
    <x v="1"/>
    <x v="2"/>
    <x v="2"/>
    <d v="2023-09-10T00:00:00"/>
    <n v="800000"/>
    <n v="810000"/>
    <n v="8.25"/>
    <x v="2"/>
    <n v="120"/>
    <n v="1000000"/>
    <n v="80"/>
  </r>
  <r>
    <n v="5"/>
    <s v="LtdCo"/>
    <x v="2"/>
    <x v="0"/>
    <x v="3"/>
    <d v="2024-02-01T00:00:00"/>
    <n v="200000"/>
    <n v="198000"/>
    <n v="5"/>
    <x v="0"/>
    <n v="0"/>
    <n v="350000"/>
    <n v="57.1"/>
  </r>
  <r>
    <n v="6"/>
    <s v="Individual"/>
    <x v="3"/>
    <x v="0"/>
    <x v="1"/>
    <d v="2023-07-30T00:00:00"/>
    <n v="180000"/>
    <n v="160000"/>
    <n v="5.8"/>
    <x v="2"/>
    <n v="180"/>
    <n v="280000"/>
    <n v="64.3"/>
  </r>
  <r>
    <n v="7"/>
    <s v="LtdCo"/>
    <x v="3"/>
    <x v="1"/>
    <x v="0"/>
    <d v="2024-03-12T00:00:00"/>
    <n v="400000"/>
    <n v="395000"/>
    <n v="7.1"/>
    <x v="0"/>
    <n v="0"/>
    <n v="550000"/>
    <n v="72.7"/>
  </r>
  <r>
    <n v="8"/>
    <s v="Individual"/>
    <x v="4"/>
    <x v="0"/>
    <x v="2"/>
    <d v="2022-12-05T00:00:00"/>
    <n v="150000"/>
    <n v="120000"/>
    <n v="5.6"/>
    <x v="1"/>
    <n v="30"/>
    <n v="250000"/>
    <n v="60"/>
  </r>
  <r>
    <n v="9"/>
    <s v="LLP"/>
    <x v="4"/>
    <x v="2"/>
    <x v="3"/>
    <d v="2023-04-18T00:00:00"/>
    <n v="900000"/>
    <n v="880000"/>
    <n v="8.5"/>
    <x v="0"/>
    <n v="0"/>
    <n v="1200000"/>
    <n v="75"/>
  </r>
  <r>
    <n v="10"/>
    <s v="LtdCo"/>
    <x v="2"/>
    <x v="2"/>
    <x v="1"/>
    <d v="2024-05-09T00:00:00"/>
    <n v="600000"/>
    <n v="595000"/>
    <n v="8.1"/>
    <x v="0"/>
    <n v="0"/>
    <n v="850000"/>
    <n v="70.599999999999994"/>
  </r>
  <r>
    <n v="11"/>
    <s v="Individual"/>
    <x v="0"/>
    <x v="1"/>
    <x v="4"/>
    <d v="2023-08-22T00:00:00"/>
    <n v="350000"/>
    <n v="340000"/>
    <n v="7.8"/>
    <x v="1"/>
    <n v="60"/>
    <n v="475000"/>
    <n v="73.7"/>
  </r>
  <r>
    <n v="12"/>
    <s v="Individual"/>
    <x v="1"/>
    <x v="0"/>
    <x v="4"/>
    <d v="2024-01-29T00:00:00"/>
    <n v="220000"/>
    <n v="218000"/>
    <n v="5.3"/>
    <x v="0"/>
    <n v="0"/>
    <n v="310000"/>
    <n v="71"/>
  </r>
  <r>
    <n v="13"/>
    <s v="LtdCo"/>
    <x v="4"/>
    <x v="0"/>
    <x v="5"/>
    <d v="2023-03-03T00:00:00"/>
    <n v="275000"/>
    <n v="260000"/>
    <n v="5.7"/>
    <x v="0"/>
    <n v="0"/>
    <n v="450000"/>
    <n v="61.1"/>
  </r>
  <r>
    <n v="14"/>
    <s v="LLP"/>
    <x v="3"/>
    <x v="2"/>
    <x v="0"/>
    <d v="2022-11-11T00:00:00"/>
    <n v="1100000"/>
    <n v="1000000"/>
    <n v="8.9"/>
    <x v="2"/>
    <n v="150"/>
    <n v="1500000"/>
    <n v="73.3"/>
  </r>
  <r>
    <n v="15"/>
    <s v="Individual"/>
    <x v="2"/>
    <x v="1"/>
    <x v="1"/>
    <d v="2023-10-17T00:00:00"/>
    <n v="320000"/>
    <n v="315000"/>
    <n v="7.2"/>
    <x v="0"/>
    <n v="0"/>
    <n v="425000"/>
    <n v="75.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s v="Individual"/>
    <x v="0"/>
    <s v="BTL"/>
    <x v="0"/>
    <d v="2024-01-15T00:00:00"/>
    <n v="300000"/>
    <n v="295000"/>
    <n v="5.0999999999999996"/>
    <x v="0"/>
    <n v="0"/>
    <n v="400000"/>
    <n v="75"/>
    <n v="1.6666666666666666E-2"/>
  </r>
  <r>
    <n v="2"/>
    <s v="LtdCo"/>
    <x v="0"/>
    <s v="BTL"/>
    <x v="1"/>
    <d v="2023-11-03T00:00:00"/>
    <n v="250000"/>
    <n v="240000"/>
    <n v="5.4"/>
    <x v="1"/>
    <n v="45"/>
    <n v="350000"/>
    <n v="71.400000000000006"/>
    <n v="0.04"/>
  </r>
  <r>
    <n v="3"/>
    <s v="Individual"/>
    <x v="1"/>
    <s v="Bridging"/>
    <x v="0"/>
    <d v="2024-06-20T00:00:00"/>
    <n v="500000"/>
    <n v="505000"/>
    <n v="7.5"/>
    <x v="0"/>
    <n v="0"/>
    <n v="650000"/>
    <n v="76.900000000000006"/>
    <n v="-0.01"/>
  </r>
  <r>
    <n v="4"/>
    <s v="LLP"/>
    <x v="1"/>
    <s v="Development"/>
    <x v="2"/>
    <d v="2023-09-10T00:00:00"/>
    <n v="800000"/>
    <n v="810000"/>
    <n v="8.25"/>
    <x v="2"/>
    <n v="120"/>
    <n v="1000000"/>
    <n v="80"/>
    <n v="-1.2500000000000001E-2"/>
  </r>
  <r>
    <n v="5"/>
    <s v="LtdCo"/>
    <x v="2"/>
    <s v="BTL"/>
    <x v="3"/>
    <d v="2024-02-01T00:00:00"/>
    <n v="200000"/>
    <n v="198000"/>
    <n v="5"/>
    <x v="0"/>
    <n v="0"/>
    <n v="350000"/>
    <n v="57.1"/>
    <n v="0.01"/>
  </r>
  <r>
    <n v="6"/>
    <s v="Individual"/>
    <x v="3"/>
    <s v="BTL"/>
    <x v="1"/>
    <d v="2023-07-30T00:00:00"/>
    <n v="180000"/>
    <n v="160000"/>
    <n v="5.8"/>
    <x v="2"/>
    <n v="180"/>
    <n v="280000"/>
    <n v="64.3"/>
    <n v="0.1111111111111111"/>
  </r>
  <r>
    <n v="7"/>
    <s v="LtdCo"/>
    <x v="3"/>
    <s v="Bridging"/>
    <x v="0"/>
    <d v="2024-03-12T00:00:00"/>
    <n v="400000"/>
    <n v="395000"/>
    <n v="7.1"/>
    <x v="0"/>
    <n v="0"/>
    <n v="550000"/>
    <n v="72.7"/>
    <n v="1.2500000000000001E-2"/>
  </r>
  <r>
    <n v="8"/>
    <s v="Individual"/>
    <x v="4"/>
    <s v="BTL"/>
    <x v="2"/>
    <d v="2022-12-05T00:00:00"/>
    <n v="150000"/>
    <n v="120000"/>
    <n v="5.6"/>
    <x v="1"/>
    <n v="30"/>
    <n v="250000"/>
    <n v="60"/>
    <n v="0.2"/>
  </r>
  <r>
    <n v="9"/>
    <s v="LLP"/>
    <x v="4"/>
    <s v="Development"/>
    <x v="3"/>
    <d v="2023-04-18T00:00:00"/>
    <n v="900000"/>
    <n v="880000"/>
    <n v="8.5"/>
    <x v="0"/>
    <n v="0"/>
    <n v="1200000"/>
    <n v="75"/>
    <n v="2.2222222222222223E-2"/>
  </r>
  <r>
    <n v="10"/>
    <s v="LtdCo"/>
    <x v="2"/>
    <s v="Development"/>
    <x v="1"/>
    <d v="2024-05-09T00:00:00"/>
    <n v="600000"/>
    <n v="595000"/>
    <n v="8.1"/>
    <x v="0"/>
    <n v="0"/>
    <n v="850000"/>
    <n v="70.599999999999994"/>
    <n v="8.3333333333333332E-3"/>
  </r>
  <r>
    <n v="11"/>
    <s v="Individual"/>
    <x v="0"/>
    <s v="Bridging"/>
    <x v="4"/>
    <d v="2023-08-22T00:00:00"/>
    <n v="350000"/>
    <n v="340000"/>
    <n v="7.8"/>
    <x v="1"/>
    <n v="60"/>
    <n v="475000"/>
    <n v="73.7"/>
    <n v="2.8571428571428571E-2"/>
  </r>
  <r>
    <n v="12"/>
    <s v="Individual"/>
    <x v="1"/>
    <s v="BTL"/>
    <x v="4"/>
    <d v="2024-01-29T00:00:00"/>
    <n v="220000"/>
    <n v="218000"/>
    <n v="5.3"/>
    <x v="0"/>
    <n v="0"/>
    <n v="310000"/>
    <n v="71"/>
    <n v="9.0909090909090905E-3"/>
  </r>
  <r>
    <n v="13"/>
    <s v="LtdCo"/>
    <x v="4"/>
    <s v="BTL"/>
    <x v="5"/>
    <d v="2023-03-03T00:00:00"/>
    <n v="275000"/>
    <n v="260000"/>
    <n v="5.7"/>
    <x v="0"/>
    <n v="0"/>
    <n v="450000"/>
    <n v="61.1"/>
    <n v="5.4545454545454543E-2"/>
  </r>
  <r>
    <n v="14"/>
    <s v="LLP"/>
    <x v="3"/>
    <s v="Development"/>
    <x v="0"/>
    <d v="2022-11-11T00:00:00"/>
    <n v="1100000"/>
    <n v="1000000"/>
    <n v="8.9"/>
    <x v="2"/>
    <n v="150"/>
    <n v="1500000"/>
    <n v="73.3"/>
    <n v="9.0909090909090912E-2"/>
  </r>
  <r>
    <n v="15"/>
    <s v="Individual"/>
    <x v="2"/>
    <s v="Bridging"/>
    <x v="1"/>
    <d v="2023-10-17T00:00:00"/>
    <n v="320000"/>
    <n v="315000"/>
    <n v="7.2"/>
    <x v="0"/>
    <n v="0"/>
    <n v="425000"/>
    <n v="75.3"/>
    <n v="1.5625E-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s v="Individual"/>
    <s v="Acme Brokers"/>
    <x v="0"/>
    <s v="London"/>
    <d v="2024-01-15T00:00:00"/>
    <n v="300000"/>
    <n v="295000"/>
    <n v="5.0999999999999996"/>
    <s v="Current"/>
    <n v="0"/>
    <n v="400000"/>
    <n v="75"/>
    <n v="1.6666666666666666E-2"/>
  </r>
  <r>
    <n v="2"/>
    <s v="LtdCo"/>
    <s v="Acme Brokers"/>
    <x v="0"/>
    <s v="South East"/>
    <d v="2023-11-03T00:00:00"/>
    <n v="250000"/>
    <n v="240000"/>
    <n v="5.4"/>
    <s v="InArrears"/>
    <n v="45"/>
    <n v="350000"/>
    <n v="71.400000000000006"/>
    <n v="0.04"/>
  </r>
  <r>
    <n v="3"/>
    <s v="Individual"/>
    <s v="Prime Introducers"/>
    <x v="1"/>
    <s v="London"/>
    <d v="2024-06-20T00:00:00"/>
    <n v="500000"/>
    <n v="505000"/>
    <n v="7.5"/>
    <s v="Current"/>
    <n v="0"/>
    <n v="650000"/>
    <n v="76.900000000000006"/>
    <n v="-0.01"/>
  </r>
  <r>
    <n v="4"/>
    <s v="LLP"/>
    <s v="Prime Introducers"/>
    <x v="2"/>
    <s v="North West"/>
    <d v="2023-09-10T00:00:00"/>
    <n v="800000"/>
    <n v="810000"/>
    <n v="8.25"/>
    <s v="Defaulted"/>
    <n v="120"/>
    <n v="1000000"/>
    <n v="80"/>
    <n v="-1.2500000000000001E-2"/>
  </r>
  <r>
    <n v="5"/>
    <s v="LtdCo"/>
    <s v="Direct"/>
    <x v="0"/>
    <s v="Midlands"/>
    <d v="2024-02-01T00:00:00"/>
    <n v="200000"/>
    <n v="198000"/>
    <n v="5"/>
    <s v="Current"/>
    <n v="0"/>
    <n v="350000"/>
    <n v="57.1"/>
    <n v="0.01"/>
  </r>
  <r>
    <n v="6"/>
    <s v="Individual"/>
    <s v="Smith Finance"/>
    <x v="0"/>
    <s v="South East"/>
    <d v="2023-07-30T00:00:00"/>
    <n v="180000"/>
    <n v="160000"/>
    <n v="5.8"/>
    <s v="Defaulted"/>
    <n v="180"/>
    <n v="280000"/>
    <n v="64.3"/>
    <n v="0.1111111111111111"/>
  </r>
  <r>
    <n v="7"/>
    <s v="LtdCo"/>
    <s v="Smith Finance"/>
    <x v="1"/>
    <s v="London"/>
    <d v="2024-03-12T00:00:00"/>
    <n v="400000"/>
    <n v="395000"/>
    <n v="7.1"/>
    <s v="Current"/>
    <n v="0"/>
    <n v="550000"/>
    <n v="72.7"/>
    <n v="1.2500000000000001E-2"/>
  </r>
  <r>
    <n v="8"/>
    <s v="Individual"/>
    <s v="Metro Brokers"/>
    <x v="0"/>
    <s v="North West"/>
    <d v="2022-12-05T00:00:00"/>
    <n v="150000"/>
    <n v="120000"/>
    <n v="5.6"/>
    <s v="InArrears"/>
    <n v="30"/>
    <n v="250000"/>
    <n v="60"/>
    <n v="0.2"/>
  </r>
  <r>
    <n v="9"/>
    <s v="LLP"/>
    <s v="Metro Brokers"/>
    <x v="2"/>
    <s v="Midlands"/>
    <d v="2023-04-18T00:00:00"/>
    <n v="900000"/>
    <n v="880000"/>
    <n v="8.5"/>
    <s v="Current"/>
    <n v="0"/>
    <n v="1200000"/>
    <n v="75"/>
    <n v="2.2222222222222223E-2"/>
  </r>
  <r>
    <n v="10"/>
    <s v="LtdCo"/>
    <s v="Direct"/>
    <x v="2"/>
    <s v="South East"/>
    <d v="2024-05-09T00:00:00"/>
    <n v="600000"/>
    <n v="595000"/>
    <n v="8.1"/>
    <s v="Current"/>
    <n v="0"/>
    <n v="850000"/>
    <n v="70.599999999999994"/>
    <n v="8.3333333333333332E-3"/>
  </r>
  <r>
    <n v="11"/>
    <s v="Individual"/>
    <s v="Acme Brokers"/>
    <x v="1"/>
    <s v="Scotland"/>
    <d v="2023-08-22T00:00:00"/>
    <n v="350000"/>
    <n v="340000"/>
    <n v="7.8"/>
    <s v="InArrears"/>
    <n v="60"/>
    <n v="475000"/>
    <n v="73.7"/>
    <n v="2.8571428571428571E-2"/>
  </r>
  <r>
    <n v="12"/>
    <s v="Individual"/>
    <s v="Prime Introducers"/>
    <x v="0"/>
    <s v="Scotland"/>
    <d v="2024-01-29T00:00:00"/>
    <n v="220000"/>
    <n v="218000"/>
    <n v="5.3"/>
    <s v="Current"/>
    <n v="0"/>
    <n v="310000"/>
    <n v="71"/>
    <n v="9.0909090909090905E-3"/>
  </r>
  <r>
    <n v="13"/>
    <s v="LtdCo"/>
    <s v="Metro Brokers"/>
    <x v="0"/>
    <s v="Wales"/>
    <d v="2023-03-03T00:00:00"/>
    <n v="275000"/>
    <n v="260000"/>
    <n v="5.7"/>
    <s v="Current"/>
    <n v="0"/>
    <n v="450000"/>
    <n v="61.1"/>
    <n v="5.4545454545454543E-2"/>
  </r>
  <r>
    <n v="14"/>
    <s v="LLP"/>
    <s v="Smith Finance"/>
    <x v="2"/>
    <s v="London"/>
    <d v="2022-11-11T00:00:00"/>
    <n v="1100000"/>
    <n v="1000000"/>
    <n v="8.9"/>
    <s v="Defaulted"/>
    <n v="150"/>
    <n v="1500000"/>
    <n v="73.3"/>
    <n v="9.0909090909090912E-2"/>
  </r>
  <r>
    <n v="15"/>
    <s v="Individual"/>
    <s v="Direct"/>
    <x v="1"/>
    <s v="South East"/>
    <d v="2023-10-17T00:00:00"/>
    <n v="320000"/>
    <n v="315000"/>
    <n v="7.2"/>
    <s v="Current"/>
    <n v="0"/>
    <n v="425000"/>
    <n v="75.3"/>
    <n v="1.5625E-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s v="Individual"/>
    <s v="Acme Brokers"/>
    <s v="BTL"/>
    <s v="London"/>
    <d v="2024-01-15T00:00:00"/>
    <n v="300000"/>
    <n v="295000"/>
    <n v="5.0999999999999996"/>
    <x v="0"/>
    <n v="0"/>
    <n v="400000"/>
    <n v="75"/>
    <n v="1.6666666666666666E-2"/>
    <x v="0"/>
  </r>
  <r>
    <n v="2"/>
    <s v="LtdCo"/>
    <s v="Acme Brokers"/>
    <s v="BTL"/>
    <s v="South East"/>
    <d v="2023-11-03T00:00:00"/>
    <n v="250000"/>
    <n v="240000"/>
    <n v="5.4"/>
    <x v="1"/>
    <n v="45"/>
    <n v="350000"/>
    <n v="71.400000000000006"/>
    <n v="0.04"/>
    <x v="1"/>
  </r>
  <r>
    <n v="3"/>
    <s v="Individual"/>
    <s v="Prime Introducers"/>
    <s v="Bridging"/>
    <s v="London"/>
    <d v="2024-06-20T00:00:00"/>
    <n v="500000"/>
    <n v="505000"/>
    <n v="7.5"/>
    <x v="0"/>
    <n v="0"/>
    <n v="650000"/>
    <n v="76.900000000000006"/>
    <n v="-0.01"/>
    <x v="0"/>
  </r>
  <r>
    <n v="4"/>
    <s v="LLP"/>
    <s v="Prime Introducers"/>
    <s v="Development"/>
    <s v="North West"/>
    <d v="2023-09-10T00:00:00"/>
    <n v="800000"/>
    <n v="810000"/>
    <n v="8.25"/>
    <x v="2"/>
    <n v="120"/>
    <n v="1000000"/>
    <n v="80"/>
    <n v="-1.2500000000000001E-2"/>
    <x v="0"/>
  </r>
  <r>
    <n v="5"/>
    <s v="LtdCo"/>
    <s v="Direct"/>
    <s v="BTL"/>
    <s v="Midlands"/>
    <d v="2024-02-01T00:00:00"/>
    <n v="200000"/>
    <n v="198000"/>
    <n v="5"/>
    <x v="0"/>
    <n v="0"/>
    <n v="350000"/>
    <n v="57.1"/>
    <n v="0.01"/>
    <x v="2"/>
  </r>
  <r>
    <n v="6"/>
    <s v="Individual"/>
    <s v="Smith Finance"/>
    <s v="BTL"/>
    <s v="South East"/>
    <d v="2023-07-30T00:00:00"/>
    <n v="180000"/>
    <n v="160000"/>
    <n v="5.8"/>
    <x v="2"/>
    <n v="180"/>
    <n v="280000"/>
    <n v="64.3"/>
    <n v="0.1111111111111111"/>
    <x v="2"/>
  </r>
  <r>
    <n v="7"/>
    <s v="LtdCo"/>
    <s v="Smith Finance"/>
    <s v="Bridging"/>
    <s v="London"/>
    <d v="2024-03-12T00:00:00"/>
    <n v="400000"/>
    <n v="395000"/>
    <n v="7.1"/>
    <x v="0"/>
    <n v="0"/>
    <n v="550000"/>
    <n v="72.7"/>
    <n v="1.2500000000000001E-2"/>
    <x v="1"/>
  </r>
  <r>
    <n v="8"/>
    <s v="Individual"/>
    <s v="Metro Brokers"/>
    <s v="BTL"/>
    <s v="North West"/>
    <d v="2022-12-05T00:00:00"/>
    <n v="150000"/>
    <n v="120000"/>
    <n v="5.6"/>
    <x v="1"/>
    <n v="30"/>
    <n v="250000"/>
    <n v="60"/>
    <n v="0.2"/>
    <x v="2"/>
  </r>
  <r>
    <n v="9"/>
    <s v="LLP"/>
    <s v="Metro Brokers"/>
    <s v="Development"/>
    <s v="Midlands"/>
    <d v="2023-04-18T00:00:00"/>
    <n v="900000"/>
    <n v="880000"/>
    <n v="8.5"/>
    <x v="0"/>
    <n v="0"/>
    <n v="1200000"/>
    <n v="75"/>
    <n v="2.2222222222222223E-2"/>
    <x v="0"/>
  </r>
  <r>
    <n v="10"/>
    <s v="LtdCo"/>
    <s v="Direct"/>
    <s v="Development"/>
    <s v="South East"/>
    <d v="2024-05-09T00:00:00"/>
    <n v="600000"/>
    <n v="595000"/>
    <n v="8.1"/>
    <x v="0"/>
    <n v="0"/>
    <n v="850000"/>
    <n v="70.599999999999994"/>
    <n v="8.3333333333333332E-3"/>
    <x v="1"/>
  </r>
  <r>
    <n v="11"/>
    <s v="Individual"/>
    <s v="Acme Brokers"/>
    <s v="Bridging"/>
    <s v="Scotland"/>
    <d v="2023-08-22T00:00:00"/>
    <n v="350000"/>
    <n v="340000"/>
    <n v="7.8"/>
    <x v="1"/>
    <n v="60"/>
    <n v="475000"/>
    <n v="73.7"/>
    <n v="2.8571428571428571E-2"/>
    <x v="1"/>
  </r>
  <r>
    <n v="12"/>
    <s v="Individual"/>
    <s v="Prime Introducers"/>
    <s v="BTL"/>
    <s v="Scotland"/>
    <d v="2024-01-29T00:00:00"/>
    <n v="220000"/>
    <n v="218000"/>
    <n v="5.3"/>
    <x v="0"/>
    <n v="0"/>
    <n v="310000"/>
    <n v="71"/>
    <n v="9.0909090909090905E-3"/>
    <x v="1"/>
  </r>
  <r>
    <n v="13"/>
    <s v="LtdCo"/>
    <s v="Metro Brokers"/>
    <s v="BTL"/>
    <s v="Wales"/>
    <d v="2023-03-03T00:00:00"/>
    <n v="275000"/>
    <n v="260000"/>
    <n v="5.7"/>
    <x v="0"/>
    <n v="0"/>
    <n v="450000"/>
    <n v="61.1"/>
    <n v="5.4545454545454543E-2"/>
    <x v="2"/>
  </r>
  <r>
    <n v="14"/>
    <s v="LLP"/>
    <s v="Smith Finance"/>
    <s v="Development"/>
    <s v="London"/>
    <d v="2022-11-11T00:00:00"/>
    <n v="1100000"/>
    <n v="1000000"/>
    <n v="8.9"/>
    <x v="2"/>
    <n v="150"/>
    <n v="1500000"/>
    <n v="73.3"/>
    <n v="9.0909090909090912E-2"/>
    <x v="1"/>
  </r>
  <r>
    <n v="15"/>
    <s v="Individual"/>
    <s v="Direct"/>
    <s v="Bridging"/>
    <s v="South East"/>
    <d v="2023-10-17T00:00:00"/>
    <n v="320000"/>
    <n v="315000"/>
    <n v="7.2"/>
    <x v="0"/>
    <n v="0"/>
    <n v="425000"/>
    <n v="75.3"/>
    <n v="1.5625E-2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s v="Individual"/>
    <x v="0"/>
    <s v="BTL"/>
    <x v="0"/>
    <n v="45306"/>
    <n v="300000"/>
    <n v="295000"/>
    <n v="5.0999999999999996"/>
    <s v="Current"/>
    <n v="0"/>
    <n v="400000"/>
    <x v="0"/>
    <n v="1.6666666666666666E-2"/>
    <x v="0"/>
  </r>
  <r>
    <n v="2"/>
    <s v="LtdCo"/>
    <x v="0"/>
    <s v="BTL"/>
    <x v="1"/>
    <n v="45233"/>
    <n v="250000"/>
    <n v="240000"/>
    <n v="5.4"/>
    <s v="InArrears"/>
    <n v="45"/>
    <n v="350000"/>
    <x v="1"/>
    <n v="0.04"/>
    <x v="1"/>
  </r>
  <r>
    <n v="3"/>
    <s v="Individual"/>
    <x v="1"/>
    <s v="Bridging"/>
    <x v="0"/>
    <n v="45463"/>
    <n v="500000"/>
    <n v="505000"/>
    <n v="7.5"/>
    <s v="Current"/>
    <n v="0"/>
    <n v="650000"/>
    <x v="2"/>
    <n v="-0.01"/>
    <x v="0"/>
  </r>
  <r>
    <n v="4"/>
    <s v="LLP"/>
    <x v="1"/>
    <s v="Development"/>
    <x v="2"/>
    <n v="45179"/>
    <n v="800000"/>
    <n v="810000"/>
    <n v="8.25"/>
    <s v="Defaulted"/>
    <n v="120"/>
    <n v="1000000"/>
    <x v="3"/>
    <n v="-1.2500000000000001E-2"/>
    <x v="0"/>
  </r>
  <r>
    <n v="5"/>
    <s v="LtdCo"/>
    <x v="2"/>
    <s v="BTL"/>
    <x v="3"/>
    <n v="45323"/>
    <n v="200000"/>
    <n v="198000"/>
    <n v="5"/>
    <s v="Current"/>
    <n v="0"/>
    <n v="350000"/>
    <x v="4"/>
    <n v="0.01"/>
    <x v="2"/>
  </r>
  <r>
    <n v="6"/>
    <s v="Individual"/>
    <x v="3"/>
    <s v="BTL"/>
    <x v="1"/>
    <n v="45137"/>
    <n v="180000"/>
    <n v="160000"/>
    <n v="5.8"/>
    <s v="Defaulted"/>
    <n v="180"/>
    <n v="280000"/>
    <x v="5"/>
    <n v="0.1111111111111111"/>
    <x v="2"/>
  </r>
  <r>
    <n v="7"/>
    <s v="LtdCo"/>
    <x v="3"/>
    <s v="Bridging"/>
    <x v="0"/>
    <n v="45363"/>
    <n v="400000"/>
    <n v="395000"/>
    <n v="7.1"/>
    <s v="Current"/>
    <n v="0"/>
    <n v="550000"/>
    <x v="6"/>
    <n v="1.2500000000000001E-2"/>
    <x v="1"/>
  </r>
  <r>
    <n v="8"/>
    <s v="Individual"/>
    <x v="4"/>
    <s v="BTL"/>
    <x v="2"/>
    <n v="44900"/>
    <n v="150000"/>
    <n v="120000"/>
    <n v="5.6"/>
    <s v="InArrears"/>
    <n v="30"/>
    <n v="250000"/>
    <x v="7"/>
    <n v="0.2"/>
    <x v="2"/>
  </r>
  <r>
    <n v="9"/>
    <s v="LLP"/>
    <x v="4"/>
    <s v="Development"/>
    <x v="3"/>
    <n v="45034"/>
    <n v="900000"/>
    <n v="880000"/>
    <n v="8.5"/>
    <s v="Current"/>
    <n v="0"/>
    <n v="1200000"/>
    <x v="0"/>
    <n v="2.2222222222222223E-2"/>
    <x v="0"/>
  </r>
  <r>
    <n v="10"/>
    <s v="LtdCo"/>
    <x v="2"/>
    <s v="Development"/>
    <x v="1"/>
    <n v="45421"/>
    <n v="600000"/>
    <n v="595000"/>
    <n v="8.1"/>
    <s v="Current"/>
    <n v="0"/>
    <n v="850000"/>
    <x v="8"/>
    <n v="8.3333333333333332E-3"/>
    <x v="1"/>
  </r>
  <r>
    <n v="11"/>
    <s v="Individual"/>
    <x v="0"/>
    <s v="Bridging"/>
    <x v="4"/>
    <n v="45160"/>
    <n v="350000"/>
    <n v="340000"/>
    <n v="7.8"/>
    <s v="InArrears"/>
    <n v="60"/>
    <n v="475000"/>
    <x v="9"/>
    <n v="2.8571428571428571E-2"/>
    <x v="1"/>
  </r>
  <r>
    <n v="12"/>
    <s v="Individual"/>
    <x v="1"/>
    <s v="BTL"/>
    <x v="4"/>
    <n v="45320"/>
    <n v="220000"/>
    <n v="218000"/>
    <n v="5.3"/>
    <s v="Current"/>
    <n v="0"/>
    <n v="310000"/>
    <x v="10"/>
    <n v="9.0909090909090905E-3"/>
    <x v="1"/>
  </r>
  <r>
    <n v="13"/>
    <s v="LtdCo"/>
    <x v="4"/>
    <s v="BTL"/>
    <x v="5"/>
    <n v="44988"/>
    <n v="275000"/>
    <n v="260000"/>
    <n v="5.7"/>
    <s v="Current"/>
    <n v="0"/>
    <n v="450000"/>
    <x v="11"/>
    <n v="5.4545454545454543E-2"/>
    <x v="2"/>
  </r>
  <r>
    <n v="14"/>
    <s v="LLP"/>
    <x v="3"/>
    <s v="Development"/>
    <x v="0"/>
    <n v="44876"/>
    <n v="1100000"/>
    <n v="1000000"/>
    <n v="8.9"/>
    <s v="Defaulted"/>
    <n v="150"/>
    <n v="1500000"/>
    <x v="12"/>
    <n v="9.0909090909090912E-2"/>
    <x v="1"/>
  </r>
  <r>
    <n v="15"/>
    <s v="Individual"/>
    <x v="2"/>
    <s v="Bridging"/>
    <x v="1"/>
    <n v="45216"/>
    <n v="320000"/>
    <n v="315000"/>
    <n v="7.2"/>
    <s v="Current"/>
    <n v="0"/>
    <n v="425000"/>
    <x v="13"/>
    <n v="1.5625E-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137CC-0BDC-46C7-8767-3429A913848D}" name="PivotTable18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showHeaders="0" compact="0" compactData="0" multipleFieldFilters="0" chartFormat="21">
  <location ref="R5:U9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65" outline="0" showAll="0"/>
    <pivotField dataField="1" compact="0" numFmtId="165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5" outline="0" showAll="0"/>
    <pivotField compact="0" outline="0" showAll="0"/>
    <pivotField compact="0" numFmtId="10" outline="0" showAll="0"/>
    <pivotField axis="axisRow" compact="0" outline="0" showAll="0">
      <items count="4">
        <item x="2"/>
        <item x="1"/>
        <item x="0"/>
        <item t="default"/>
      </items>
    </pivotField>
  </pivotFields>
  <rowFields count="1">
    <field x="14"/>
  </rowFields>
  <rowItems count="3">
    <i>
      <x/>
    </i>
    <i>
      <x v="1"/>
    </i>
    <i>
      <x v="2"/>
    </i>
  </rowItems>
  <colFields count="1">
    <field x="9"/>
  </colFields>
  <colItems count="3">
    <i>
      <x/>
    </i>
    <i>
      <x v="1"/>
    </i>
    <i>
      <x v="2"/>
    </i>
  </colItems>
  <dataFields count="1">
    <dataField name="LTV Band" fld="7" baseField="0" baseItem="0" numFmtId="165"/>
  </dataFields>
  <formats count="18"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type="topRight" dataOnly="0" labelOnly="1" outline="0" fieldPosition="0"/>
    </format>
    <format dxfId="13">
      <pivotArea dataOnly="0" labelOnly="1" outline="0" fieldPosition="0">
        <references count="1">
          <reference field="14" count="0"/>
        </references>
      </pivotArea>
    </format>
    <format dxfId="12">
      <pivotArea dataOnly="0" labelOnly="1" outline="0" fieldPosition="0">
        <references count="1">
          <reference field="9" count="0"/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type="topRight" dataOnly="0" labelOnly="1" outline="0" fieldPosition="0"/>
    </format>
    <format dxfId="7">
      <pivotArea dataOnly="0" labelOnly="1" outline="0" fieldPosition="0">
        <references count="1">
          <reference field="14" count="0"/>
        </references>
      </pivotArea>
    </format>
    <format dxfId="6">
      <pivotArea dataOnly="0" labelOnly="1" outline="0" fieldPosition="0">
        <references count="1">
          <reference field="9" count="0"/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type="origin" dataOnly="0" labelOnly="1" outline="0" fieldPosition="0"/>
    </format>
    <format dxfId="2">
      <pivotArea type="topRight" dataOnly="0" labelOnly="1" outline="0" fieldPosition="0"/>
    </format>
    <format dxfId="1">
      <pivotArea dataOnly="0" labelOnly="1" outline="0" fieldPosition="0">
        <references count="1">
          <reference field="14" count="0"/>
        </references>
      </pivotArea>
    </format>
    <format dxfId="0">
      <pivotArea dataOnly="0" labelOnly="1" outline="0" fieldPosition="0">
        <references count="1">
          <reference field="9" count="0"/>
        </references>
      </pivotArea>
    </format>
  </formats>
  <chartFormats count="6"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7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7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7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AA3177-EA9D-43FC-B828-BF5DA0CAF9C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B5:C9" firstHeaderRow="1" firstDataRow="1" firstDataCol="1"/>
  <pivotFields count="13">
    <pivotField compact="0" outline="0" showAll="0"/>
    <pivotField compact="0" outline="0" showAll="0"/>
    <pivotField compact="0" outline="0" showAll="0"/>
    <pivotField name="Product" axis="axisRow" compact="0" outline="0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4" outline="0" showAll="0"/>
    <pivotField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</pivotFields>
  <rowFields count="1">
    <field x="3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current_balance" fld="7" baseField="0" baseItem="0" numFmtId="3"/>
  </dataFields>
  <formats count="19">
    <format dxfId="36">
      <pivotArea outline="0" collapsedLevelsAreSubtotals="1" fieldPosition="0"/>
    </format>
    <format dxfId="35">
      <pivotArea dataOnly="0" labelOnly="1" outline="0" fieldPosition="0">
        <references count="1">
          <reference field="3" count="0"/>
        </references>
      </pivotArea>
    </format>
    <format dxfId="34">
      <pivotArea dataOnly="0" labelOnly="1" grandRow="1" outline="0" fieldPosition="0"/>
    </format>
    <format dxfId="33">
      <pivotArea field="3" type="button" dataOnly="0" labelOnly="1" outline="0" axis="axisRow" fieldPosition="0"/>
    </format>
    <format dxfId="32">
      <pivotArea dataOnly="0" labelOnly="1" outline="0" axis="axisValues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3" type="button" dataOnly="0" labelOnly="1" outline="0" axis="axisRow" fieldPosition="0"/>
    </format>
    <format dxfId="28">
      <pivotArea dataOnly="0" labelOnly="1" outline="0" fieldPosition="0">
        <references count="1">
          <reference field="3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3" type="button" dataOnly="0" labelOnly="1" outline="0" axis="axisRow" fieldPosition="0"/>
    </format>
    <format dxfId="22">
      <pivotArea dataOnly="0" labelOnly="1" outline="0" fieldPosition="0">
        <references count="1">
          <reference field="3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  <format dxfId="19">
      <pivotArea outline="0" collapsedLevelsAreSubtotals="1" fieldPosition="0"/>
    </format>
    <format dxfId="18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E1A1A0-6249-4A10-B216-CA1B5F6B6CCD}" name="PivotTable14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1" rowHeaderCaption="Region">
  <location ref="L26:N32" firstHeaderRow="0" firstDataRow="1" firstDataCol="1"/>
  <pivotFields count="14">
    <pivotField showAll="0"/>
    <pivotField showAll="0"/>
    <pivotField showAll="0"/>
    <pivotField showAll="0"/>
    <pivotField axis="axisRow" showAll="0">
      <items count="7">
        <item x="0"/>
        <item x="3"/>
        <item x="2"/>
        <item x="4"/>
        <item x="1"/>
        <item x="5"/>
        <item t="default"/>
      </items>
    </pivotField>
    <pivotField numFmtId="14" showAll="0"/>
    <pivotField numFmtId="165" showAll="0"/>
    <pivotField dataField="1" numFmtId="165" showAll="0"/>
    <pivotField showAll="0"/>
    <pivotField showAll="0"/>
    <pivotField showAll="0"/>
    <pivotField numFmtId="165" showAll="0"/>
    <pivotField showAll="0"/>
    <pivotField dataField="1" numFmtId="1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Sum of current_balance" fld="7" baseField="0" baseItem="0" numFmtId="165"/>
    <dataField name="Average percentage repaid" fld="13" subtotal="average" baseField="4" baseItem="0" numFmtId="10"/>
  </dataFields>
  <formats count="18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4" type="button" dataOnly="0" labelOnly="1" outline="0" axis="axisRow" fieldPosition="0"/>
    </format>
    <format dxfId="51">
      <pivotArea dataOnly="0" labelOnly="1" fieldPosition="0">
        <references count="1">
          <reference field="4" count="0"/>
        </references>
      </pivotArea>
    </format>
    <format dxfId="50">
      <pivotArea dataOnly="0" labelOnly="1" grandRow="1" outline="0" fieldPosition="0"/>
    </format>
    <format dxfId="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4" type="button" dataOnly="0" labelOnly="1" outline="0" axis="axisRow" fieldPosition="0"/>
    </format>
    <format dxfId="45">
      <pivotArea dataOnly="0" labelOnly="1" fieldPosition="0">
        <references count="1">
          <reference field="4" count="0"/>
        </references>
      </pivotArea>
    </format>
    <format dxfId="44">
      <pivotArea dataOnly="0" labelOnly="1" grandRow="1" outline="0" fieldPosition="0"/>
    </format>
    <format dxfId="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4" type="button" dataOnly="0" labelOnly="1" outline="0" axis="axisRow" fieldPosition="0"/>
    </format>
    <format dxfId="39">
      <pivotArea dataOnly="0" labelOnly="1" fieldPosition="0">
        <references count="1">
          <reference field="4" count="0"/>
        </references>
      </pivotArea>
    </format>
    <format dxfId="38">
      <pivotArea dataOnly="0" labelOnly="1" grandRow="1" outline="0" fieldPosition="0"/>
    </format>
    <format dxfId="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909F6-2390-4975-9DE3-7CD417262754}" name="PivotTable17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36" rowHeaderCaption="Product">
  <location ref="B35:D38" firstHeaderRow="0" firstDataRow="1" firstDataCol="1"/>
  <pivotFields count="13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numFmtId="14" showAll="0"/>
    <pivotField numFmtId="164" showAll="0"/>
    <pivotField dataField="1" numFmtId="164" showAll="0"/>
    <pivotField showAll="0"/>
    <pivotField showAll="0"/>
    <pivotField showAll="0"/>
    <pivotField numFmtId="164" showAll="0"/>
    <pivotField dataField="1" showAll="0"/>
  </pivotFields>
  <rowFields count="1">
    <field x="3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Sum of current_balance" fld="7" baseField="0" baseItem="0" numFmtId="165"/>
    <dataField name="Average of ltv_at_origination" fld="12" subtotal="average" baseField="3" baseItem="0"/>
  </dataFields>
  <formats count="19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3" type="button" dataOnly="0" labelOnly="1" outline="0" axis="axisRow" fieldPosition="0"/>
    </format>
    <format dxfId="70">
      <pivotArea dataOnly="0" labelOnly="1" fieldPosition="0">
        <references count="1">
          <reference field="3" count="0"/>
        </references>
      </pivotArea>
    </format>
    <format dxfId="69">
      <pivotArea dataOnly="0" labelOnly="1" grandRow="1" outline="0" fieldPosition="0"/>
    </format>
    <format dxfId="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3" type="button" dataOnly="0" labelOnly="1" outline="0" axis="axisRow" fieldPosition="0"/>
    </format>
    <format dxfId="64">
      <pivotArea dataOnly="0" labelOnly="1" fieldPosition="0">
        <references count="1">
          <reference field="3" count="0"/>
        </references>
      </pivotArea>
    </format>
    <format dxfId="63">
      <pivotArea dataOnly="0" labelOnly="1" grandRow="1" outline="0" fieldPosition="0"/>
    </format>
    <format dxfId="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3" type="button" dataOnly="0" labelOnly="1" outline="0" axis="axisRow" fieldPosition="0"/>
    </format>
    <format dxfId="58">
      <pivotArea dataOnly="0" labelOnly="1" fieldPosition="0">
        <references count="1">
          <reference field="3" count="0"/>
        </references>
      </pivotArea>
    </format>
    <format dxfId="57">
      <pivotArea dataOnly="0" labelOnly="1" grandRow="1" outline="0" fieldPosition="0"/>
    </format>
    <format dxfId="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4">
    <chartFormat chart="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BCC3E-9B9F-4CA5-864F-B3500AAB625D}" name="PivotTable1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showHeaders="0" outline="1" outlineData="1" multipleFieldFilters="0" chartFormat="18" rowHeaderCaption="Broker">
  <location ref="G15:J21" firstHeaderRow="1" firstDataRow="2" firstDataCol="1"/>
  <pivotFields count="13">
    <pivotField showAll="0"/>
    <pivotField showAll="0"/>
    <pivotField axis="axisRow" showAll="0">
      <items count="6">
        <item x="0"/>
        <item x="2"/>
        <item x="4"/>
        <item x="1"/>
        <item x="3"/>
        <item t="default"/>
      </items>
    </pivotField>
    <pivotField showAll="0"/>
    <pivotField showAll="0"/>
    <pivotField numFmtId="14" showAll="0"/>
    <pivotField numFmtId="164" showAll="0"/>
    <pivotField dataField="1" numFmtId="164"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numFmtId="164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Fields count="1">
    <field x="9"/>
  </colFields>
  <colItems count="3">
    <i>
      <x/>
    </i>
    <i>
      <x v="1"/>
    </i>
    <i>
      <x v="2"/>
    </i>
  </colItems>
  <dataFields count="1">
    <dataField name=" " fld="7" baseField="0" baseItem="0" numFmtId="3"/>
  </dataFields>
  <formats count="29">
    <format dxfId="102">
      <pivotArea outline="0" collapsedLevelsAreSubtotals="1" fieldPosition="0"/>
    </format>
    <format dxfId="101">
      <pivotArea field="9" type="button" dataOnly="0" labelOnly="1" outline="0" axis="axisCol" fieldPosition="0"/>
    </format>
    <format dxfId="100">
      <pivotArea type="topRight" dataOnly="0" labelOnly="1" outline="0" fieldPosition="0"/>
    </format>
    <format dxfId="99">
      <pivotArea dataOnly="0" labelOnly="1" fieldPosition="0">
        <references count="1">
          <reference field="9" count="0"/>
        </references>
      </pivotArea>
    </format>
    <format dxfId="98">
      <pivotArea dataOnly="0" labelOnly="1" grandCol="1" outline="0" fieldPosition="0"/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type="origin" dataOnly="0" labelOnly="1" outline="0" fieldPosition="0"/>
    </format>
    <format dxfId="94">
      <pivotArea field="9" type="button" dataOnly="0" labelOnly="1" outline="0" axis="axisCol" fieldPosition="0"/>
    </format>
    <format dxfId="93">
      <pivotArea type="topRight" dataOnly="0" labelOnly="1" outline="0" fieldPosition="0"/>
    </format>
    <format dxfId="92">
      <pivotArea field="2" type="button" dataOnly="0" labelOnly="1" outline="0" axis="axisRow" fieldPosition="0"/>
    </format>
    <format dxfId="91">
      <pivotArea dataOnly="0" labelOnly="1" fieldPosition="0">
        <references count="1">
          <reference field="2" count="0"/>
        </references>
      </pivotArea>
    </format>
    <format dxfId="90">
      <pivotArea dataOnly="0" labelOnly="1" fieldPosition="0">
        <references count="1">
          <reference field="9" count="0"/>
        </references>
      </pivotArea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type="origin" dataOnly="0" labelOnly="1" outline="0" fieldPosition="0"/>
    </format>
    <format dxfId="86">
      <pivotArea field="9" type="button" dataOnly="0" labelOnly="1" outline="0" axis="axisCol" fieldPosition="0"/>
    </format>
    <format dxfId="85">
      <pivotArea type="topRight" dataOnly="0" labelOnly="1" outline="0" fieldPosition="0"/>
    </format>
    <format dxfId="84">
      <pivotArea field="2" type="button" dataOnly="0" labelOnly="1" outline="0" axis="axisRow" fieldPosition="0"/>
    </format>
    <format dxfId="83">
      <pivotArea dataOnly="0" labelOnly="1" fieldPosition="0">
        <references count="1">
          <reference field="2" count="0"/>
        </references>
      </pivotArea>
    </format>
    <format dxfId="82">
      <pivotArea dataOnly="0" labelOnly="1" fieldPosition="0">
        <references count="1">
          <reference field="9" count="0"/>
        </references>
      </pivotArea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type="origin" dataOnly="0" labelOnly="1" outline="0" fieldPosition="0"/>
    </format>
    <format dxfId="78">
      <pivotArea field="9" type="button" dataOnly="0" labelOnly="1" outline="0" axis="axisCol" fieldPosition="0"/>
    </format>
    <format dxfId="77">
      <pivotArea type="topRight" dataOnly="0" labelOnly="1" outline="0" fieldPosition="0"/>
    </format>
    <format dxfId="76">
      <pivotArea field="2" type="button" dataOnly="0" labelOnly="1" outline="0" axis="axisRow" fieldPosition="0"/>
    </format>
    <format dxfId="75">
      <pivotArea dataOnly="0" labelOnly="1" fieldPosition="0">
        <references count="1">
          <reference field="2" count="0"/>
        </references>
      </pivotArea>
    </format>
    <format dxfId="74">
      <pivotArea dataOnly="0" labelOnly="1" fieldPosition="0">
        <references count="1">
          <reference field="9" count="0"/>
        </references>
      </pivotArea>
    </format>
  </formats>
  <chartFormats count="9"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6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6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6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7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7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7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4EDB0D-323A-46C7-AD7B-E3CFAA35B2C2}" name="PivotTable20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showHeaders="0" outline="1" outlineData="1" multipleFieldFilters="0" chartFormat="19" rowHeaderCaption="Region">
  <location ref="L15:O22" firstHeaderRow="1" firstDataRow="2" firstDataCol="1"/>
  <pivotFields count="13">
    <pivotField showAll="0"/>
    <pivotField showAll="0"/>
    <pivotField showAll="0"/>
    <pivotField showAll="0"/>
    <pivotField axis="axisRow" showAll="0">
      <items count="7">
        <item x="0"/>
        <item x="3"/>
        <item x="2"/>
        <item x="4"/>
        <item x="1"/>
        <item x="5"/>
        <item t="default"/>
      </items>
    </pivotField>
    <pivotField numFmtId="14" showAll="0"/>
    <pivotField numFmtId="164" showAll="0"/>
    <pivotField dataField="1" numFmtId="164"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numFmtId="164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9"/>
  </colFields>
  <colItems count="3">
    <i>
      <x/>
    </i>
    <i>
      <x v="1"/>
    </i>
    <i>
      <x v="2"/>
    </i>
  </colItems>
  <dataFields count="1">
    <dataField name=" " fld="7" baseField="0" baseItem="0" numFmtId="3"/>
  </dataFields>
  <formats count="29">
    <format dxfId="131">
      <pivotArea type="all" dataOnly="0" outline="0" fieldPosition="0"/>
    </format>
    <format dxfId="130">
      <pivotArea outline="0" collapsedLevelsAreSubtotals="1" fieldPosition="0"/>
    </format>
    <format dxfId="129">
      <pivotArea type="origin" dataOnly="0" labelOnly="1" outline="0" fieldPosition="0"/>
    </format>
    <format dxfId="128">
      <pivotArea field="9" type="button" dataOnly="0" labelOnly="1" outline="0" axis="axisCol" fieldPosition="0"/>
    </format>
    <format dxfId="127">
      <pivotArea type="topRight" dataOnly="0" labelOnly="1" outline="0" fieldPosition="0"/>
    </format>
    <format dxfId="126">
      <pivotArea field="4" type="button" dataOnly="0" labelOnly="1" outline="0" axis="axisRow" fieldPosition="0"/>
    </format>
    <format dxfId="125">
      <pivotArea dataOnly="0" labelOnly="1" fieldPosition="0">
        <references count="1">
          <reference field="4" count="0"/>
        </references>
      </pivotArea>
    </format>
    <format dxfId="124">
      <pivotArea dataOnly="0" labelOnly="1" grandRow="1" outline="0" fieldPosition="0"/>
    </format>
    <format dxfId="123">
      <pivotArea dataOnly="0" labelOnly="1" fieldPosition="0">
        <references count="1">
          <reference field="9" count="0"/>
        </references>
      </pivotArea>
    </format>
    <format dxfId="122">
      <pivotArea outline="0" collapsedLevelsAreSubtotals="1" fieldPosition="0"/>
    </format>
    <format dxfId="121">
      <pivotArea field="9" type="button" dataOnly="0" labelOnly="1" outline="0" axis="axisCol" fieldPosition="0"/>
    </format>
    <format dxfId="120">
      <pivotArea type="topRight" dataOnly="0" labelOnly="1" outline="0" fieldPosition="0"/>
    </format>
    <format dxfId="119">
      <pivotArea dataOnly="0" labelOnly="1" fieldPosition="0">
        <references count="1">
          <reference field="9" count="0"/>
        </references>
      </pivotArea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type="origin" dataOnly="0" labelOnly="1" outline="0" fieldPosition="0"/>
    </format>
    <format dxfId="115">
      <pivotArea field="9" type="button" dataOnly="0" labelOnly="1" outline="0" axis="axisCol" fieldPosition="0"/>
    </format>
    <format dxfId="114">
      <pivotArea type="topRight" dataOnly="0" labelOnly="1" outline="0" fieldPosition="0"/>
    </format>
    <format dxfId="113">
      <pivotArea field="4" type="button" dataOnly="0" labelOnly="1" outline="0" axis="axisRow" fieldPosition="0"/>
    </format>
    <format dxfId="112">
      <pivotArea dataOnly="0" labelOnly="1" fieldPosition="0">
        <references count="1">
          <reference field="4" count="0"/>
        </references>
      </pivotArea>
    </format>
    <format dxfId="111">
      <pivotArea dataOnly="0" labelOnly="1" fieldPosition="0">
        <references count="1">
          <reference field="9" count="0"/>
        </references>
      </pivotArea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type="origin" dataOnly="0" labelOnly="1" outline="0" fieldPosition="0"/>
    </format>
    <format dxfId="107">
      <pivotArea field="9" type="button" dataOnly="0" labelOnly="1" outline="0" axis="axisCol" fieldPosition="0"/>
    </format>
    <format dxfId="106">
      <pivotArea type="topRight" dataOnly="0" labelOnly="1" outline="0" fieldPosition="0"/>
    </format>
    <format dxfId="105">
      <pivotArea field="4" type="button" dataOnly="0" labelOnly="1" outline="0" axis="axisRow" fieldPosition="0"/>
    </format>
    <format dxfId="104">
      <pivotArea dataOnly="0" labelOnly="1" fieldPosition="0">
        <references count="1">
          <reference field="4" count="0"/>
        </references>
      </pivotArea>
    </format>
    <format dxfId="103">
      <pivotArea dataOnly="0" labelOnly="1" fieldPosition="0">
        <references count="1">
          <reference field="9" count="0"/>
        </references>
      </pivotArea>
    </format>
  </formats>
  <chartFormats count="6"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7AFABC-3AA8-43F1-B90A-DF98CF0209C7}" name="PivotTable10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6" rowHeaderCaption="Broker">
  <location ref="G26:I31" firstHeaderRow="0" firstDataRow="1" firstDataCol="1"/>
  <pivotFields count="14">
    <pivotField showAll="0"/>
    <pivotField showAll="0"/>
    <pivotField axis="axisRow" showAll="0" sortType="ascending">
      <items count="6">
        <item x="0"/>
        <item x="2"/>
        <item x="4"/>
        <item x="1"/>
        <item x="3"/>
        <item t="default"/>
      </items>
    </pivotField>
    <pivotField showAll="0"/>
    <pivotField showAll="0"/>
    <pivotField numFmtId="14" showAll="0"/>
    <pivotField numFmtId="165" showAll="0"/>
    <pivotField dataField="1" numFmtId="165" showAll="0"/>
    <pivotField showAll="0"/>
    <pivotField showAll="0"/>
    <pivotField showAll="0"/>
    <pivotField numFmtId="165" showAll="0"/>
    <pivotField showAll="0"/>
    <pivotField dataField="1" numFmtId="10" showAl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Sum of current_balance" fld="7" baseField="0" baseItem="0" numFmtId="165"/>
    <dataField name="Average percentage repaid" fld="13" subtotal="average" baseField="0" baseItem="0" numFmtId="10"/>
  </dataFields>
  <formats count="21">
    <format dxfId="152">
      <pivotArea type="all" dataOnly="0" outline="0" fieldPosition="0"/>
    </format>
    <format dxfId="151">
      <pivotArea outline="0" collapsedLevelsAreSubtotals="1" fieldPosition="0"/>
    </format>
    <format dxfId="150">
      <pivotArea field="2" type="button" dataOnly="0" labelOnly="1" outline="0" axis="axisRow" fieldPosition="0"/>
    </format>
    <format dxfId="149">
      <pivotArea dataOnly="0" labelOnly="1" fieldPosition="0">
        <references count="1">
          <reference field="2" count="0"/>
        </references>
      </pivotArea>
    </format>
    <format dxfId="148">
      <pivotArea dataOnly="0" labelOnly="1" grandRow="1" outline="0" fieldPosition="0"/>
    </format>
    <format dxfId="1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6">
      <pivotArea type="all" dataOnly="0" outline="0" fieldPosition="0"/>
    </format>
    <format dxfId="145">
      <pivotArea outline="0" collapsedLevelsAreSubtotals="1" fieldPosition="0"/>
    </format>
    <format dxfId="144">
      <pivotArea field="2" type="button" dataOnly="0" labelOnly="1" outline="0" axis="axisRow" fieldPosition="0"/>
    </format>
    <format dxfId="143">
      <pivotArea dataOnly="0" labelOnly="1" fieldPosition="0">
        <references count="1">
          <reference field="2" count="0"/>
        </references>
      </pivotArea>
    </format>
    <format dxfId="142">
      <pivotArea dataOnly="0" labelOnly="1" grandRow="1" outline="0" fieldPosition="0"/>
    </format>
    <format dxfId="1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0">
      <pivotArea type="all" dataOnly="0" outline="0" fieldPosition="0"/>
    </format>
    <format dxfId="139">
      <pivotArea outline="0" collapsedLevelsAreSubtotals="1" fieldPosition="0"/>
    </format>
    <format dxfId="138">
      <pivotArea field="2" type="button" dataOnly="0" labelOnly="1" outline="0" axis="axisRow" fieldPosition="0"/>
    </format>
    <format dxfId="137">
      <pivotArea dataOnly="0" labelOnly="1" fieldPosition="0">
        <references count="1">
          <reference field="2" count="0"/>
        </references>
      </pivotArea>
    </format>
    <format dxfId="136">
      <pivotArea dataOnly="0" labelOnly="1" grandRow="1" outline="0" fieldPosition="0"/>
    </format>
    <format dxfId="1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3">
      <pivotArea outline="0" collapsedLevelsAreSubtotals="1" fieldPosition="0"/>
    </format>
    <format dxfId="132">
      <pivotArea dataOnly="0" labelOnly="1" fieldPosition="0">
        <references count="1">
          <reference field="2" count="0"/>
        </references>
      </pivotArea>
    </format>
  </formats>
  <chartFormats count="14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8439D-0566-4FA1-8BBE-C01FE4642DDA}" name="PivotTable6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>
  <location ref="L35:N41" firstHeaderRow="0" firstDataRow="1" firstDataCol="1"/>
  <pivotFields count="15">
    <pivotField showAll="0"/>
    <pivotField showAll="0"/>
    <pivotField showAll="0"/>
    <pivotField showAll="0"/>
    <pivotField axis="axisRow" showAll="0">
      <items count="7">
        <item x="0"/>
        <item x="3"/>
        <item x="2"/>
        <item x="4"/>
        <item x="1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Sum of current_balance" fld="7" baseField="0" baseItem="0"/>
    <dataField name="Average of ltv_at_origination" fld="12" subtotal="average" baseField="4" baseItem="0"/>
  </dataFields>
  <formats count="19">
    <format dxfId="171">
      <pivotArea type="all" dataOnly="0" outline="0" fieldPosition="0"/>
    </format>
    <format dxfId="170">
      <pivotArea outline="0" collapsedLevelsAreSubtotals="1" fieldPosition="0"/>
    </format>
    <format dxfId="169">
      <pivotArea field="4" type="button" dataOnly="0" labelOnly="1" outline="0" axis="axisRow" fieldPosition="0"/>
    </format>
    <format dxfId="168">
      <pivotArea dataOnly="0" labelOnly="1" fieldPosition="0">
        <references count="1">
          <reference field="4" count="0"/>
        </references>
      </pivotArea>
    </format>
    <format dxfId="167">
      <pivotArea dataOnly="0" labelOnly="1" grandRow="1" outline="0" fieldPosition="0"/>
    </format>
    <format dxfId="1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5">
      <pivotArea type="all" dataOnly="0" outline="0" fieldPosition="0"/>
    </format>
    <format dxfId="164">
      <pivotArea outline="0" collapsedLevelsAreSubtotals="1" fieldPosition="0"/>
    </format>
    <format dxfId="163">
      <pivotArea field="4" type="button" dataOnly="0" labelOnly="1" outline="0" axis="axisRow" fieldPosition="0"/>
    </format>
    <format dxfId="162">
      <pivotArea dataOnly="0" labelOnly="1" fieldPosition="0">
        <references count="1">
          <reference field="4" count="0"/>
        </references>
      </pivotArea>
    </format>
    <format dxfId="161">
      <pivotArea dataOnly="0" labelOnly="1" grandRow="1" outline="0" fieldPosition="0"/>
    </format>
    <format dxfId="1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9">
      <pivotArea type="all" dataOnly="0" outline="0" fieldPosition="0"/>
    </format>
    <format dxfId="158">
      <pivotArea outline="0" collapsedLevelsAreSubtotals="1" fieldPosition="0"/>
    </format>
    <format dxfId="157">
      <pivotArea field="4" type="button" dataOnly="0" labelOnly="1" outline="0" axis="axisRow" fieldPosition="0"/>
    </format>
    <format dxfId="156">
      <pivotArea dataOnly="0" labelOnly="1" fieldPosition="0">
        <references count="1">
          <reference field="4" count="0"/>
        </references>
      </pivotArea>
    </format>
    <format dxfId="155">
      <pivotArea dataOnly="0" labelOnly="1" grandRow="1" outline="0" fieldPosition="0"/>
    </format>
    <format dxfId="1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3">
      <pivotArea collapsedLevelsAreSubtotals="1" fieldPosition="0">
        <references count="2">
          <reference field="4294967294" count="1" selected="0">
            <x v="0"/>
          </reference>
          <reference field="4" count="0"/>
        </references>
      </pivotArea>
    </format>
  </format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D28034-BDF7-4D0A-A6BD-06CA2DEDF729}" name="PivotTable13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8" rowHeaderCaption="Product">
  <location ref="B26:D29" firstHeaderRow="0" firstDataRow="1" firstDataCol="1"/>
  <pivotFields count="14"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numFmtId="165" showAll="0"/>
    <pivotField dataField="1" numFmtId="165" showAll="0"/>
    <pivotField showAll="0"/>
    <pivotField showAll="0"/>
    <pivotField showAll="0"/>
    <pivotField numFmtId="165" showAll="0"/>
    <pivotField showAll="0"/>
    <pivotField dataField="1" numFmtId="10" showAll="0"/>
  </pivotFields>
  <rowFields count="1">
    <field x="3"/>
  </rowFields>
  <rowItems count="3">
    <i>
      <x v="2"/>
    </i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Sum of current_balance" fld="7" baseField="0" baseItem="0" numFmtId="165"/>
    <dataField name="Average percentage repaid" fld="13" subtotal="average" baseField="3" baseItem="0" numFmtId="10"/>
  </dataFields>
  <formats count="20">
    <format dxfId="191">
      <pivotArea type="all" dataOnly="0" outline="0" fieldPosition="0"/>
    </format>
    <format dxfId="190">
      <pivotArea outline="0" collapsedLevelsAreSubtotals="1" fieldPosition="0"/>
    </format>
    <format dxfId="189">
      <pivotArea field="3" type="button" dataOnly="0" labelOnly="1" outline="0" axis="axisRow" fieldPosition="0"/>
    </format>
    <format dxfId="188">
      <pivotArea dataOnly="0" labelOnly="1" fieldPosition="0">
        <references count="1">
          <reference field="3" count="0"/>
        </references>
      </pivotArea>
    </format>
    <format dxfId="187">
      <pivotArea dataOnly="0" labelOnly="1" grandRow="1" outline="0" fieldPosition="0"/>
    </format>
    <format dxfId="18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5">
      <pivotArea type="all" dataOnly="0" outline="0" fieldPosition="0"/>
    </format>
    <format dxfId="184">
      <pivotArea outline="0" collapsedLevelsAreSubtotals="1" fieldPosition="0"/>
    </format>
    <format dxfId="183">
      <pivotArea field="3" type="button" dataOnly="0" labelOnly="1" outline="0" axis="axisRow" fieldPosition="0"/>
    </format>
    <format dxfId="182">
      <pivotArea dataOnly="0" labelOnly="1" fieldPosition="0">
        <references count="1">
          <reference field="3" count="0"/>
        </references>
      </pivotArea>
    </format>
    <format dxfId="181">
      <pivotArea dataOnly="0" labelOnly="1" grandRow="1" outline="0" fieldPosition="0"/>
    </format>
    <format dxfId="18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9">
      <pivotArea type="all" dataOnly="0" outline="0" fieldPosition="0"/>
    </format>
    <format dxfId="178">
      <pivotArea outline="0" collapsedLevelsAreSubtotals="1" fieldPosition="0"/>
    </format>
    <format dxfId="177">
      <pivotArea field="3" type="button" dataOnly="0" labelOnly="1" outline="0" axis="axisRow" fieldPosition="0"/>
    </format>
    <format dxfId="176">
      <pivotArea dataOnly="0" labelOnly="1" fieldPosition="0">
        <references count="1">
          <reference field="3" count="0"/>
        </references>
      </pivotArea>
    </format>
    <format dxfId="175">
      <pivotArea dataOnly="0" labelOnly="1" grandRow="1" outline="0" fieldPosition="0"/>
    </format>
    <format dxfId="1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3">
      <pivotArea collapsedLevelsAreSubtotals="1" fieldPosition="0">
        <references count="1">
          <reference field="3" count="0"/>
        </references>
      </pivotArea>
    </format>
    <format dxfId="172">
      <pivotArea dataOnly="0" labelOnly="1" fieldPosition="0">
        <references count="1">
          <reference field="3" count="0"/>
        </references>
      </pivotArea>
    </format>
  </formats>
  <chartFormats count="1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4832B-EAEF-4A56-ABB8-7696C7FDB233}" name="PivotTable15" cacheId="0" applyNumberFormats="0" applyBorderFormats="0" applyFontFormats="0" applyPatternFormats="0" applyAlignmentFormats="0" applyWidthHeightFormats="1" dataCaption="Values" grandTotalCaption="Total" updatedVersion="8" minRefreshableVersion="3" useAutoFormatting="1" rowGrandTotals="0" colGrandTotals="0" itemPrintTitles="1" createdVersion="8" indent="0" showHeaders="0" outline="1" outlineData="1" multipleFieldFilters="0" chartFormat="19" rowHeaderCaption="product-type" colHeaderCaption="status">
  <location ref="B15:E19" firstHeaderRow="1" firstDataRow="2" firstDataCol="1"/>
  <pivotFields count="13">
    <pivotField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9" count="1" selected="0">
              <x v="0"/>
            </reference>
          </references>
        </pivotArea>
      </autoSortScope>
    </pivotField>
    <pivotField showAll="0"/>
    <pivotField numFmtId="14" showAll="0"/>
    <pivotField numFmtId="164" showAll="0"/>
    <pivotField dataField="1" numFmtId="164"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numFmtId="164" showAll="0"/>
    <pivotField showAll="0"/>
  </pivotFields>
  <rowFields count="1">
    <field x="3"/>
  </rowFields>
  <rowItems count="3">
    <i>
      <x/>
    </i>
    <i>
      <x v="2"/>
    </i>
    <i>
      <x v="1"/>
    </i>
  </rowItems>
  <colFields count="1">
    <field x="9"/>
  </colFields>
  <colItems count="3">
    <i>
      <x/>
    </i>
    <i>
      <x v="1"/>
    </i>
    <i>
      <x v="2"/>
    </i>
  </colItems>
  <dataFields count="1">
    <dataField name=" " fld="7" baseField="0" baseItem="0" numFmtId="164"/>
  </dataFields>
  <formats count="39">
    <format dxfId="230">
      <pivotArea type="all" dataOnly="0" outline="0" fieldPosition="0"/>
    </format>
    <format dxfId="229">
      <pivotArea outline="0" collapsedLevelsAreSubtotals="1" fieldPosition="0"/>
    </format>
    <format dxfId="228">
      <pivotArea type="origin" dataOnly="0" labelOnly="1" outline="0" fieldPosition="0"/>
    </format>
    <format dxfId="227">
      <pivotArea field="9" type="button" dataOnly="0" labelOnly="1" outline="0" axis="axisCol" fieldPosition="0"/>
    </format>
    <format dxfId="226">
      <pivotArea type="topRight" dataOnly="0" labelOnly="1" outline="0" fieldPosition="0"/>
    </format>
    <format dxfId="225">
      <pivotArea field="3" type="button" dataOnly="0" labelOnly="1" outline="0" axis="axisRow" fieldPosition="0"/>
    </format>
    <format dxfId="224">
      <pivotArea dataOnly="0" labelOnly="1" fieldPosition="0">
        <references count="1">
          <reference field="3" count="0"/>
        </references>
      </pivotArea>
    </format>
    <format dxfId="223">
      <pivotArea dataOnly="0" labelOnly="1" grandRow="1" outline="0" fieldPosition="0"/>
    </format>
    <format dxfId="222">
      <pivotArea dataOnly="0" labelOnly="1" fieldPosition="0">
        <references count="1">
          <reference field="9" count="0"/>
        </references>
      </pivotArea>
    </format>
    <format dxfId="221">
      <pivotArea dataOnly="0" labelOnly="1" grandCol="1" outline="0" fieldPosition="0"/>
    </format>
    <format dxfId="220">
      <pivotArea type="all" dataOnly="0" outline="0" fieldPosition="0"/>
    </format>
    <format dxfId="219">
      <pivotArea outline="0" collapsedLevelsAreSubtotals="1" fieldPosition="0"/>
    </format>
    <format dxfId="218">
      <pivotArea type="origin" dataOnly="0" labelOnly="1" outline="0" fieldPosition="0"/>
    </format>
    <format dxfId="217">
      <pivotArea field="9" type="button" dataOnly="0" labelOnly="1" outline="0" axis="axisCol" fieldPosition="0"/>
    </format>
    <format dxfId="216">
      <pivotArea type="topRight" dataOnly="0" labelOnly="1" outline="0" fieldPosition="0"/>
    </format>
    <format dxfId="215">
      <pivotArea field="3" type="button" dataOnly="0" labelOnly="1" outline="0" axis="axisRow" fieldPosition="0"/>
    </format>
    <format dxfId="214">
      <pivotArea dataOnly="0" labelOnly="1" fieldPosition="0">
        <references count="1">
          <reference field="3" count="0"/>
        </references>
      </pivotArea>
    </format>
    <format dxfId="213">
      <pivotArea dataOnly="0" labelOnly="1" grandRow="1" outline="0" fieldPosition="0"/>
    </format>
    <format dxfId="212">
      <pivotArea dataOnly="0" labelOnly="1" fieldPosition="0">
        <references count="1">
          <reference field="9" count="0"/>
        </references>
      </pivotArea>
    </format>
    <format dxfId="211">
      <pivotArea dataOnly="0" labelOnly="1" grandCol="1" outline="0" fieldPosition="0"/>
    </format>
    <format dxfId="210">
      <pivotArea type="all" dataOnly="0" outline="0" fieldPosition="0"/>
    </format>
    <format dxfId="209">
      <pivotArea outline="0" collapsedLevelsAreSubtotals="1" fieldPosition="0"/>
    </format>
    <format dxfId="208">
      <pivotArea type="origin" dataOnly="0" labelOnly="1" outline="0" fieldPosition="0"/>
    </format>
    <format dxfId="207">
      <pivotArea field="9" type="button" dataOnly="0" labelOnly="1" outline="0" axis="axisCol" fieldPosition="0"/>
    </format>
    <format dxfId="206">
      <pivotArea type="topRight" dataOnly="0" labelOnly="1" outline="0" fieldPosition="0"/>
    </format>
    <format dxfId="205">
      <pivotArea field="3" type="button" dataOnly="0" labelOnly="1" outline="0" axis="axisRow" fieldPosition="0"/>
    </format>
    <format dxfId="204">
      <pivotArea dataOnly="0" labelOnly="1" fieldPosition="0">
        <references count="1">
          <reference field="3" count="0"/>
        </references>
      </pivotArea>
    </format>
    <format dxfId="203">
      <pivotArea dataOnly="0" labelOnly="1" grandRow="1" outline="0" fieldPosition="0"/>
    </format>
    <format dxfId="202">
      <pivotArea dataOnly="0" labelOnly="1" fieldPosition="0">
        <references count="1">
          <reference field="9" count="0"/>
        </references>
      </pivotArea>
    </format>
    <format dxfId="201">
      <pivotArea dataOnly="0" labelOnly="1" grandCol="1" outline="0" fieldPosition="0"/>
    </format>
    <format dxfId="200">
      <pivotArea outline="0" collapsedLevelsAreSubtotals="1" fieldPosition="0">
        <references count="1">
          <reference field="9" count="1" selected="0">
            <x v="0"/>
          </reference>
        </references>
      </pivotArea>
    </format>
    <format dxfId="199">
      <pivotArea field="9" type="button" dataOnly="0" labelOnly="1" outline="0" axis="axisCol" fieldPosition="0"/>
    </format>
    <format dxfId="198">
      <pivotArea dataOnly="0" labelOnly="1" fieldPosition="0">
        <references count="1">
          <reference field="9" count="1">
            <x v="0"/>
          </reference>
        </references>
      </pivotArea>
    </format>
    <format dxfId="197">
      <pivotArea outline="0" collapsedLevelsAreSubtotals="1" fieldPosition="0">
        <references count="1">
          <reference field="9" count="1" selected="0">
            <x v="2"/>
          </reference>
        </references>
      </pivotArea>
    </format>
    <format dxfId="196">
      <pivotArea type="topRight" dataOnly="0" labelOnly="1" outline="0" fieldPosition="0"/>
    </format>
    <format dxfId="195">
      <pivotArea dataOnly="0" labelOnly="1" fieldPosition="0">
        <references count="1">
          <reference field="9" count="1">
            <x v="2"/>
          </reference>
        </references>
      </pivotArea>
    </format>
    <format dxfId="194">
      <pivotArea outline="0" collapsedLevelsAreSubtotals="1" fieldPosition="0">
        <references count="1">
          <reference field="9" count="1" selected="0">
            <x v="1"/>
          </reference>
        </references>
      </pivotArea>
    </format>
    <format dxfId="193">
      <pivotArea grandCol="1" outline="0" collapsedLevelsAreSubtotals="1" fieldPosition="0"/>
    </format>
    <format dxfId="192">
      <pivotArea grandCol="1" outline="0" collapsedLevelsAreSubtotals="1" fieldPosition="0"/>
    </format>
  </formats>
  <chartFormats count="9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4A62FF-7CF2-4CA6-B017-2761AB91E4F2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gion">
  <location ref="L5:M12" firstHeaderRow="1" firstDataRow="1" firstDataCol="1"/>
  <pivotFields count="13">
    <pivotField showAll="0"/>
    <pivotField showAll="0"/>
    <pivotField showAll="0"/>
    <pivotField showAll="0"/>
    <pivotField axis="axisRow" showAll="0">
      <items count="7">
        <item x="0"/>
        <item x="3"/>
        <item x="2"/>
        <item x="4"/>
        <item x="1"/>
        <item x="5"/>
        <item t="default"/>
      </items>
    </pivotField>
    <pivotField numFmtId="14" showAll="0"/>
    <pivotField numFmtId="164" showAll="0"/>
    <pivotField dataField="1" numFmtId="164" showAll="0"/>
    <pivotField showAll="0"/>
    <pivotField showAll="0"/>
    <pivotField showAll="0"/>
    <pivotField numFmtId="164"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urrent_balance" fld="7" baseField="0" baseItem="0" numFmtId="3"/>
  </dataFields>
  <formats count="20">
    <format dxfId="250">
      <pivotArea outline="0" collapsedLevelsAreSubtotals="1" fieldPosition="0"/>
    </format>
    <format dxfId="249">
      <pivotArea dataOnly="0" labelOnly="1" outline="0" axis="axisValues" fieldPosition="0"/>
    </format>
    <format dxfId="248">
      <pivotArea type="all" dataOnly="0" outline="0" fieldPosition="0"/>
    </format>
    <format dxfId="247">
      <pivotArea outline="0" collapsedLevelsAreSubtotals="1" fieldPosition="0"/>
    </format>
    <format dxfId="246">
      <pivotArea field="4" type="button" dataOnly="0" labelOnly="1" outline="0" axis="axisRow" fieldPosition="0"/>
    </format>
    <format dxfId="245">
      <pivotArea dataOnly="0" labelOnly="1" fieldPosition="0">
        <references count="1">
          <reference field="4" count="0"/>
        </references>
      </pivotArea>
    </format>
    <format dxfId="244">
      <pivotArea dataOnly="0" labelOnly="1" grandRow="1" outline="0" fieldPosition="0"/>
    </format>
    <format dxfId="243">
      <pivotArea dataOnly="0" labelOnly="1" outline="0" axis="axisValues" fieldPosition="0"/>
    </format>
    <format dxfId="242">
      <pivotArea type="all" dataOnly="0" outline="0" fieldPosition="0"/>
    </format>
    <format dxfId="241">
      <pivotArea outline="0" collapsedLevelsAreSubtotals="1" fieldPosition="0"/>
    </format>
    <format dxfId="240">
      <pivotArea field="4" type="button" dataOnly="0" labelOnly="1" outline="0" axis="axisRow" fieldPosition="0"/>
    </format>
    <format dxfId="239">
      <pivotArea dataOnly="0" labelOnly="1" fieldPosition="0">
        <references count="1">
          <reference field="4" count="0"/>
        </references>
      </pivotArea>
    </format>
    <format dxfId="238">
      <pivotArea dataOnly="0" labelOnly="1" grandRow="1" outline="0" fieldPosition="0"/>
    </format>
    <format dxfId="237">
      <pivotArea dataOnly="0" labelOnly="1" outline="0" axis="axisValues" fieldPosition="0"/>
    </format>
    <format dxfId="236">
      <pivotArea type="all" dataOnly="0" outline="0" fieldPosition="0"/>
    </format>
    <format dxfId="235">
      <pivotArea outline="0" collapsedLevelsAreSubtotals="1" fieldPosition="0"/>
    </format>
    <format dxfId="234">
      <pivotArea field="4" type="button" dataOnly="0" labelOnly="1" outline="0" axis="axisRow" fieldPosition="0"/>
    </format>
    <format dxfId="233">
      <pivotArea dataOnly="0" labelOnly="1" fieldPosition="0">
        <references count="1">
          <reference field="4" count="0"/>
        </references>
      </pivotArea>
    </format>
    <format dxfId="232">
      <pivotArea dataOnly="0" labelOnly="1" grandRow="1" outline="0" fieldPosition="0"/>
    </format>
    <format dxfId="231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B5309-4B3A-4613-834A-2AFA38204881}" name="PivotTable4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2" rowHeaderCaption="Broker">
  <location ref="G35:I40" firstHeaderRow="0" firstDataRow="1" firstDataCol="1"/>
  <pivotFields count="15">
    <pivotField showAll="0"/>
    <pivotField showAll="0"/>
    <pivotField axis="axisRow" showAll="0">
      <items count="6">
        <item x="0"/>
        <item x="2"/>
        <item x="4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>
      <items count="15">
        <item x="4"/>
        <item x="7"/>
        <item x="11"/>
        <item x="5"/>
        <item x="8"/>
        <item x="10"/>
        <item x="1"/>
        <item x="6"/>
        <item x="12"/>
        <item x="9"/>
        <item x="0"/>
        <item x="13"/>
        <item x="2"/>
        <item x="3"/>
        <item t="default"/>
      </items>
    </pivotField>
    <pivotField showAll="0"/>
    <pivotField showAll="0">
      <items count="4">
        <item x="0"/>
        <item x="2"/>
        <item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Sum of current_balance" fld="7" baseField="0" baseItem="0" numFmtId="165"/>
    <dataField name="Average of ltv_at_origination" fld="12" subtotal="average" baseField="2" baseItem="3" numFmtId="2"/>
  </dataFields>
  <formats count="20">
    <format dxfId="270">
      <pivotArea type="all" dataOnly="0" outline="0" fieldPosition="0"/>
    </format>
    <format dxfId="269">
      <pivotArea outline="0" collapsedLevelsAreSubtotals="1" fieldPosition="0"/>
    </format>
    <format dxfId="268">
      <pivotArea field="2" type="button" dataOnly="0" labelOnly="1" outline="0" axis="axisRow" fieldPosition="0"/>
    </format>
    <format dxfId="267">
      <pivotArea dataOnly="0" labelOnly="1" fieldPosition="0">
        <references count="1">
          <reference field="2" count="0"/>
        </references>
      </pivotArea>
    </format>
    <format dxfId="266">
      <pivotArea dataOnly="0" labelOnly="1" grandRow="1" outline="0" fieldPosition="0"/>
    </format>
    <format dxfId="2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4">
      <pivotArea type="all" dataOnly="0" outline="0" fieldPosition="0"/>
    </format>
    <format dxfId="263">
      <pivotArea outline="0" collapsedLevelsAreSubtotals="1" fieldPosition="0"/>
    </format>
    <format dxfId="262">
      <pivotArea field="2" type="button" dataOnly="0" labelOnly="1" outline="0" axis="axisRow" fieldPosition="0"/>
    </format>
    <format dxfId="261">
      <pivotArea dataOnly="0" labelOnly="1" fieldPosition="0">
        <references count="1">
          <reference field="2" count="0"/>
        </references>
      </pivotArea>
    </format>
    <format dxfId="260">
      <pivotArea dataOnly="0" labelOnly="1" grandRow="1" outline="0" fieldPosition="0"/>
    </format>
    <format dxfId="2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8">
      <pivotArea type="all" dataOnly="0" outline="0" fieldPosition="0"/>
    </format>
    <format dxfId="257">
      <pivotArea outline="0" collapsedLevelsAreSubtotals="1" fieldPosition="0"/>
    </format>
    <format dxfId="256">
      <pivotArea field="2" type="button" dataOnly="0" labelOnly="1" outline="0" axis="axisRow" fieldPosition="0"/>
    </format>
    <format dxfId="255">
      <pivotArea dataOnly="0" labelOnly="1" fieldPosition="0">
        <references count="1">
          <reference field="2" count="0"/>
        </references>
      </pivotArea>
    </format>
    <format dxfId="254">
      <pivotArea dataOnly="0" labelOnly="1" grandRow="1" outline="0" fieldPosition="0"/>
    </format>
    <format dxfId="2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5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E8CF37-EF53-4B2A-ACCE-D9AB4D2CA2E3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Broker">
  <location ref="G5:H11" firstHeaderRow="1" firstDataRow="1" firstDataCol="1"/>
  <pivotFields count="13">
    <pivotField showAll="0"/>
    <pivotField showAll="0"/>
    <pivotField axis="axisRow" showAll="0">
      <items count="6">
        <item x="0"/>
        <item x="2"/>
        <item x="4"/>
        <item x="1"/>
        <item x="3"/>
        <item t="default"/>
      </items>
    </pivotField>
    <pivotField showAll="0"/>
    <pivotField showAll="0"/>
    <pivotField numFmtId="14" showAll="0"/>
    <pivotField numFmtId="164" showAll="0"/>
    <pivotField dataField="1" numFmtId="164" showAll="0"/>
    <pivotField showAll="0"/>
    <pivotField showAll="0"/>
    <pivotField showAll="0"/>
    <pivotField numFmtId="164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urrent_balance" fld="7" baseField="0" baseItem="0" numFmtId="3"/>
  </dataFields>
  <formats count="20">
    <format dxfId="290">
      <pivotArea type="all" dataOnly="0" outline="0" fieldPosition="0"/>
    </format>
    <format dxfId="289">
      <pivotArea outline="0" collapsedLevelsAreSubtotals="1" fieldPosition="0"/>
    </format>
    <format dxfId="288">
      <pivotArea field="2" type="button" dataOnly="0" labelOnly="1" outline="0" axis="axisRow" fieldPosition="0"/>
    </format>
    <format dxfId="287">
      <pivotArea dataOnly="0" labelOnly="1" fieldPosition="0">
        <references count="1">
          <reference field="2" count="0"/>
        </references>
      </pivotArea>
    </format>
    <format dxfId="286">
      <pivotArea dataOnly="0" labelOnly="1" grandRow="1" outline="0" fieldPosition="0"/>
    </format>
    <format dxfId="285">
      <pivotArea dataOnly="0" labelOnly="1" outline="0" axis="axisValues" fieldPosition="0"/>
    </format>
    <format dxfId="284">
      <pivotArea type="all" dataOnly="0" outline="0" fieldPosition="0"/>
    </format>
    <format dxfId="283">
      <pivotArea outline="0" collapsedLevelsAreSubtotals="1" fieldPosition="0"/>
    </format>
    <format dxfId="282">
      <pivotArea field="2" type="button" dataOnly="0" labelOnly="1" outline="0" axis="axisRow" fieldPosition="0"/>
    </format>
    <format dxfId="281">
      <pivotArea dataOnly="0" labelOnly="1" fieldPosition="0">
        <references count="1">
          <reference field="2" count="0"/>
        </references>
      </pivotArea>
    </format>
    <format dxfId="280">
      <pivotArea dataOnly="0" labelOnly="1" grandRow="1" outline="0" fieldPosition="0"/>
    </format>
    <format dxfId="279">
      <pivotArea dataOnly="0" labelOnly="1" outline="0" axis="axisValues" fieldPosition="0"/>
    </format>
    <format dxfId="278">
      <pivotArea type="all" dataOnly="0" outline="0" fieldPosition="0"/>
    </format>
    <format dxfId="277">
      <pivotArea outline="0" collapsedLevelsAreSubtotals="1" fieldPosition="0"/>
    </format>
    <format dxfId="276">
      <pivotArea field="2" type="button" dataOnly="0" labelOnly="1" outline="0" axis="axisRow" fieldPosition="0"/>
    </format>
    <format dxfId="275">
      <pivotArea dataOnly="0" labelOnly="1" fieldPosition="0">
        <references count="1">
          <reference field="2" count="0"/>
        </references>
      </pivotArea>
    </format>
    <format dxfId="274">
      <pivotArea dataOnly="0" labelOnly="1" grandRow="1" outline="0" fieldPosition="0"/>
    </format>
    <format dxfId="273">
      <pivotArea dataOnly="0" labelOnly="1" outline="0" axis="axisValues" fieldPosition="0"/>
    </format>
    <format dxfId="272">
      <pivotArea outline="0" collapsedLevelsAreSubtotals="1" fieldPosition="0"/>
    </format>
    <format dxfId="271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1CFC53-C317-4678-A941-C405E15AEA36}" name="Table2" displayName="Table2" ref="A1:O16" totalsRowShown="0">
  <autoFilter ref="A1:O16" xr:uid="{DB1CFC53-C317-4678-A941-C405E15AEA36}"/>
  <tableColumns count="15">
    <tableColumn id="1" xr3:uid="{41BE7F3B-B589-4DA3-A783-C2D944171A91}" name="loan_id"/>
    <tableColumn id="2" xr3:uid="{EBB456A4-FB94-4CA9-BF46-C822831F665F}" name="borrower_segment"/>
    <tableColumn id="3" xr3:uid="{50DDBB04-8011-47B7-89C0-C940B36F3490}" name="broker_name"/>
    <tableColumn id="4" xr3:uid="{A7F458EA-72E1-4DD0-9AA4-B26A2BAC6F4F}" name="product_type"/>
    <tableColumn id="5" xr3:uid="{BCFE677E-5B68-4F3F-A2AB-FFA2C3FE4D02}" name="region"/>
    <tableColumn id="6" xr3:uid="{C1476C9D-6D6C-4594-9E51-1070DDD30031}" name="origination_date" dataDxfId="296"/>
    <tableColumn id="15" xr3:uid="{371A2DBD-E9ED-4FC7-907A-DEDFDBB8B010}" name="original_balance" dataDxfId="295"/>
    <tableColumn id="9" xr3:uid="{9434B676-11A3-4C96-AD4F-C40949CFE167}" name="current_balance" dataDxfId="294"/>
    <tableColumn id="20" xr3:uid="{780D9B88-6689-4126-9D24-6263D1F8BDDA}" name="interest_rate"/>
    <tableColumn id="10" xr3:uid="{FD7903C6-FCC3-40EF-BDA5-404AC53512BD}" name="status"/>
    <tableColumn id="11" xr3:uid="{7E5F7787-B7B6-4561-9011-049587BF82C2}" name="arrears_days"/>
    <tableColumn id="12" xr3:uid="{8602D33D-E46D-4DB9-AB28-F04A5F0D3974}" name="property_value" dataDxfId="293"/>
    <tableColumn id="13" xr3:uid="{87B745DE-DF0E-4476-B179-DB0A281D10B5}" name="ltv_at_origination"/>
    <tableColumn id="22" xr3:uid="{27170AF4-E4D5-46BC-AD3F-9FE62BD609B1}" name="percentage_repaid" dataDxfId="292"/>
    <tableColumn id="7" xr3:uid="{D85D0B8F-71DA-4A32-8338-A9F132453FA6}" name="ltv-band" dataDxfId="291">
      <calculatedColumnFormula>IF(Table2[[#This Row],[ltv_at_origination]]&lt;65,"low", IF(Table2[[#This Row],[ltv_at_origination]]&lt;75,"medium","high"))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A14F-C83B-4022-82CA-F1E4BC6DBE40}">
  <dimension ref="B2:AL42"/>
  <sheetViews>
    <sheetView tabSelected="1" zoomScale="43" zoomScaleNormal="80" workbookViewId="0">
      <selection activeCell="AG37" sqref="AG37"/>
    </sheetView>
  </sheetViews>
  <sheetFormatPr defaultRowHeight="14.5" x14ac:dyDescent="0.35"/>
  <sheetData>
    <row r="2" spans="2:38" ht="18.5" x14ac:dyDescent="0.45">
      <c r="B2" s="41" t="s">
        <v>61</v>
      </c>
      <c r="C2" s="41"/>
      <c r="D2" s="41"/>
      <c r="E2" s="41"/>
      <c r="F2" s="41"/>
      <c r="G2" s="41"/>
      <c r="H2" s="41"/>
      <c r="I2" s="41"/>
      <c r="K2" s="41" t="s">
        <v>65</v>
      </c>
      <c r="L2" s="41"/>
      <c r="M2" s="41"/>
      <c r="N2" s="41"/>
      <c r="O2" s="41"/>
      <c r="P2" s="41"/>
      <c r="Q2" s="41"/>
      <c r="R2" s="41"/>
      <c r="T2" s="41" t="s">
        <v>63</v>
      </c>
      <c r="U2" s="41"/>
      <c r="V2" s="41"/>
      <c r="W2" s="41"/>
      <c r="X2" s="41"/>
      <c r="Y2" s="41"/>
      <c r="Z2" s="41"/>
      <c r="AA2" s="41"/>
      <c r="AD2" s="21"/>
      <c r="AE2" s="41" t="s">
        <v>59</v>
      </c>
      <c r="AF2" s="41"/>
      <c r="AG2" s="41"/>
      <c r="AH2" s="41"/>
      <c r="AI2" s="41"/>
      <c r="AJ2" s="41"/>
      <c r="AK2" s="41"/>
      <c r="AL2" s="41"/>
    </row>
    <row r="4" spans="2:38" x14ac:dyDescent="0.35">
      <c r="B4" s="40" t="s">
        <v>37</v>
      </c>
      <c r="C4" s="40"/>
      <c r="D4" s="40"/>
      <c r="E4" s="40"/>
      <c r="F4" s="40"/>
      <c r="G4" s="40"/>
      <c r="H4" s="40"/>
      <c r="I4" s="40"/>
      <c r="K4" s="40" t="s">
        <v>43</v>
      </c>
      <c r="L4" s="40"/>
      <c r="M4" s="40"/>
      <c r="N4" s="40"/>
      <c r="O4" s="40"/>
      <c r="P4" s="40"/>
      <c r="Q4" s="40"/>
      <c r="R4" s="40"/>
      <c r="T4" s="40" t="s">
        <v>41</v>
      </c>
      <c r="U4" s="40"/>
      <c r="V4" s="40"/>
      <c r="W4" s="40"/>
      <c r="X4" s="40"/>
      <c r="Y4" s="40"/>
      <c r="Z4" s="40"/>
      <c r="AA4" s="40"/>
      <c r="AE4" s="40" t="s">
        <v>53</v>
      </c>
      <c r="AF4" s="40"/>
      <c r="AG4" s="40"/>
      <c r="AH4" s="40"/>
      <c r="AI4" s="40"/>
      <c r="AJ4" s="40"/>
      <c r="AK4" s="40"/>
      <c r="AL4" s="40"/>
    </row>
    <row r="5" spans="2:38" x14ac:dyDescent="0.35">
      <c r="AB5" s="5"/>
    </row>
    <row r="22" spans="2:27" x14ac:dyDescent="0.35">
      <c r="B22" s="5" t="s">
        <v>60</v>
      </c>
    </row>
    <row r="23" spans="2:27" x14ac:dyDescent="0.35">
      <c r="B23" s="5"/>
    </row>
    <row r="24" spans="2:27" x14ac:dyDescent="0.35">
      <c r="B24" s="40" t="s">
        <v>45</v>
      </c>
      <c r="C24" s="40"/>
      <c r="D24" s="40"/>
      <c r="E24" s="40"/>
      <c r="F24" s="40"/>
      <c r="G24" s="40"/>
      <c r="H24" s="40"/>
      <c r="I24" s="40"/>
      <c r="K24" s="40" t="s">
        <v>44</v>
      </c>
      <c r="L24" s="40"/>
      <c r="M24" s="40"/>
      <c r="N24" s="40"/>
      <c r="O24" s="40"/>
      <c r="P24" s="40"/>
      <c r="Q24" s="40"/>
      <c r="R24" s="40"/>
      <c r="T24" s="40" t="s">
        <v>49</v>
      </c>
      <c r="U24" s="40"/>
      <c r="V24" s="40"/>
      <c r="W24" s="40"/>
      <c r="X24" s="40"/>
      <c r="Y24" s="40"/>
      <c r="Z24" s="40"/>
      <c r="AA24" s="40"/>
    </row>
    <row r="42" spans="2:27" x14ac:dyDescent="0.35">
      <c r="B42" s="40" t="s">
        <v>51</v>
      </c>
      <c r="C42" s="40"/>
      <c r="D42" s="40"/>
      <c r="E42" s="40"/>
      <c r="F42" s="40"/>
      <c r="G42" s="40"/>
      <c r="H42" s="40"/>
      <c r="I42" s="40"/>
      <c r="K42" s="40" t="s">
        <v>66</v>
      </c>
      <c r="L42" s="40"/>
      <c r="M42" s="40"/>
      <c r="N42" s="40"/>
      <c r="O42" s="40"/>
      <c r="P42" s="40"/>
      <c r="Q42" s="40"/>
      <c r="R42" s="40"/>
      <c r="T42" s="40" t="s">
        <v>68</v>
      </c>
      <c r="U42" s="40"/>
      <c r="V42" s="40"/>
      <c r="W42" s="40"/>
      <c r="X42" s="40"/>
      <c r="Y42" s="40"/>
      <c r="Z42" s="40"/>
      <c r="AA42" s="40"/>
    </row>
  </sheetData>
  <mergeCells count="14">
    <mergeCell ref="B42:I42"/>
    <mergeCell ref="K42:R42"/>
    <mergeCell ref="T42:AA42"/>
    <mergeCell ref="AE2:AL2"/>
    <mergeCell ref="AE4:AL4"/>
    <mergeCell ref="B24:I24"/>
    <mergeCell ref="K24:R24"/>
    <mergeCell ref="T24:AA24"/>
    <mergeCell ref="B4:I4"/>
    <mergeCell ref="B2:I2"/>
    <mergeCell ref="K2:R2"/>
    <mergeCell ref="T2:AA2"/>
    <mergeCell ref="T4:AA4"/>
    <mergeCell ref="K4:R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66268-1F14-4F00-B516-FA72151E2C86}">
  <dimension ref="B2:U42"/>
  <sheetViews>
    <sheetView zoomScale="50" zoomScaleNormal="50" workbookViewId="0">
      <selection activeCell="S28" sqref="S28"/>
    </sheetView>
  </sheetViews>
  <sheetFormatPr defaultRowHeight="14.5" x14ac:dyDescent="0.35"/>
  <cols>
    <col min="2" max="2" width="19.36328125" bestFit="1" customWidth="1"/>
    <col min="3" max="3" width="29" style="10" bestFit="1" customWidth="1"/>
    <col min="4" max="4" width="34.453125" bestFit="1" customWidth="1"/>
    <col min="5" max="5" width="12.26953125" bestFit="1" customWidth="1"/>
    <col min="6" max="6" width="7.36328125" style="10" customWidth="1"/>
    <col min="7" max="7" width="18.26953125" style="10" customWidth="1"/>
    <col min="8" max="8" width="29" style="10" bestFit="1" customWidth="1"/>
    <col min="9" max="9" width="34.453125" style="10" bestFit="1" customWidth="1"/>
    <col min="10" max="10" width="12.26953125" style="10" bestFit="1" customWidth="1"/>
    <col min="11" max="11" width="5.36328125" style="10" customWidth="1"/>
    <col min="12" max="12" width="23.36328125" style="10" bestFit="1" customWidth="1"/>
    <col min="13" max="13" width="29" style="10" bestFit="1" customWidth="1"/>
    <col min="14" max="14" width="34.453125" bestFit="1" customWidth="1"/>
    <col min="15" max="15" width="12.26953125" bestFit="1" customWidth="1"/>
    <col min="16" max="16" width="6" style="10" customWidth="1"/>
    <col min="17" max="17" width="9.453125" style="10" bestFit="1" customWidth="1"/>
    <col min="18" max="18" width="12.81640625" style="10" bestFit="1" customWidth="1"/>
    <col min="19" max="19" width="10.6328125" style="10" bestFit="1" customWidth="1"/>
    <col min="20" max="20" width="11.90625" bestFit="1" customWidth="1"/>
    <col min="21" max="21" width="12.26953125" style="10" bestFit="1" customWidth="1"/>
    <col min="22" max="22" width="12.453125" bestFit="1" customWidth="1"/>
    <col min="23" max="23" width="12.90625" bestFit="1" customWidth="1"/>
    <col min="24" max="24" width="15.90625" bestFit="1" customWidth="1"/>
    <col min="25" max="25" width="21.90625" bestFit="1" customWidth="1"/>
    <col min="26" max="26" width="25.54296875" bestFit="1" customWidth="1"/>
    <col min="27" max="27" width="9.08984375" customWidth="1"/>
  </cols>
  <sheetData>
    <row r="2" spans="2:21" x14ac:dyDescent="0.35">
      <c r="B2" s="45" t="s">
        <v>61</v>
      </c>
      <c r="C2" s="45"/>
      <c r="D2" s="45"/>
      <c r="E2" s="45"/>
      <c r="G2" s="46" t="s">
        <v>62</v>
      </c>
      <c r="H2" s="46"/>
      <c r="I2" s="46"/>
      <c r="J2" s="46"/>
      <c r="L2" s="46" t="s">
        <v>63</v>
      </c>
      <c r="M2" s="46"/>
      <c r="N2" s="46"/>
      <c r="O2" s="46"/>
      <c r="R2" s="42" t="s">
        <v>64</v>
      </c>
      <c r="S2" s="42"/>
      <c r="T2" s="42"/>
      <c r="U2"/>
    </row>
    <row r="3" spans="2:21" x14ac:dyDescent="0.35">
      <c r="R3" s="15"/>
      <c r="S3" s="15"/>
      <c r="U3"/>
    </row>
    <row r="4" spans="2:21" ht="18" customHeight="1" x14ac:dyDescent="0.35">
      <c r="B4" s="43" t="s">
        <v>33</v>
      </c>
      <c r="C4" s="44"/>
      <c r="E4" s="20"/>
      <c r="F4" s="20"/>
      <c r="G4" s="47" t="s">
        <v>34</v>
      </c>
      <c r="H4" s="48"/>
      <c r="I4" s="20"/>
      <c r="J4" s="20"/>
      <c r="K4" s="20"/>
      <c r="L4" s="40" t="s">
        <v>42</v>
      </c>
      <c r="M4" s="40"/>
      <c r="P4"/>
      <c r="Q4"/>
      <c r="R4" s="40" t="s">
        <v>54</v>
      </c>
      <c r="S4" s="40"/>
      <c r="T4" s="40"/>
      <c r="U4" s="40"/>
    </row>
    <row r="5" spans="2:21" x14ac:dyDescent="0.35">
      <c r="B5" s="3" t="s">
        <v>46</v>
      </c>
      <c r="C5" s="11" t="s">
        <v>35</v>
      </c>
      <c r="F5"/>
      <c r="G5" s="6" t="s">
        <v>39</v>
      </c>
      <c r="H5" s="12" t="s">
        <v>35</v>
      </c>
      <c r="I5"/>
      <c r="J5"/>
      <c r="K5"/>
      <c r="L5" s="6" t="s">
        <v>40</v>
      </c>
      <c r="M5" s="12" t="s">
        <v>35</v>
      </c>
      <c r="P5"/>
      <c r="Q5"/>
      <c r="R5" s="6" t="s">
        <v>58</v>
      </c>
      <c r="S5" s="38"/>
      <c r="T5" s="24"/>
      <c r="U5" s="25"/>
    </row>
    <row r="6" spans="2:21" x14ac:dyDescent="0.35">
      <c r="B6" s="4" t="s">
        <v>24</v>
      </c>
      <c r="C6" s="11">
        <v>3285000</v>
      </c>
      <c r="F6"/>
      <c r="G6" s="7" t="s">
        <v>14</v>
      </c>
      <c r="H6" s="12">
        <v>875000</v>
      </c>
      <c r="I6"/>
      <c r="J6"/>
      <c r="K6"/>
      <c r="L6" s="7" t="s">
        <v>16</v>
      </c>
      <c r="M6" s="12">
        <v>2195000</v>
      </c>
      <c r="P6"/>
      <c r="Q6"/>
      <c r="R6" s="37"/>
      <c r="S6" s="24" t="s">
        <v>17</v>
      </c>
      <c r="T6" s="26" t="s">
        <v>20</v>
      </c>
      <c r="U6" s="25" t="s">
        <v>26</v>
      </c>
    </row>
    <row r="7" spans="2:21" x14ac:dyDescent="0.35">
      <c r="B7" s="4" t="s">
        <v>22</v>
      </c>
      <c r="C7" s="11">
        <v>1555000</v>
      </c>
      <c r="F7"/>
      <c r="G7" s="7" t="s">
        <v>27</v>
      </c>
      <c r="H7" s="12">
        <v>1108000</v>
      </c>
      <c r="I7"/>
      <c r="J7"/>
      <c r="K7"/>
      <c r="L7" s="7" t="s">
        <v>28</v>
      </c>
      <c r="M7" s="12">
        <v>1078000</v>
      </c>
      <c r="P7"/>
      <c r="Q7"/>
      <c r="R7" s="27" t="s">
        <v>57</v>
      </c>
      <c r="S7" s="28">
        <v>458000</v>
      </c>
      <c r="T7" s="29">
        <v>120000</v>
      </c>
      <c r="U7" s="30">
        <v>160000</v>
      </c>
    </row>
    <row r="8" spans="2:21" x14ac:dyDescent="0.35">
      <c r="B8" s="4" t="s">
        <v>15</v>
      </c>
      <c r="C8" s="11">
        <v>1491000</v>
      </c>
      <c r="F8"/>
      <c r="G8" s="7" t="s">
        <v>30</v>
      </c>
      <c r="H8" s="12">
        <v>1260000</v>
      </c>
      <c r="I8"/>
      <c r="J8"/>
      <c r="K8"/>
      <c r="L8" s="7" t="s">
        <v>25</v>
      </c>
      <c r="M8" s="12">
        <v>930000</v>
      </c>
      <c r="P8"/>
      <c r="Q8"/>
      <c r="R8" s="31" t="s">
        <v>56</v>
      </c>
      <c r="S8" s="32">
        <v>1208000</v>
      </c>
      <c r="T8" s="33">
        <v>580000</v>
      </c>
      <c r="U8" s="34">
        <v>1000000</v>
      </c>
    </row>
    <row r="9" spans="2:21" x14ac:dyDescent="0.35">
      <c r="B9" s="4" t="s">
        <v>36</v>
      </c>
      <c r="C9" s="11">
        <v>6331000</v>
      </c>
      <c r="F9"/>
      <c r="G9" s="7" t="s">
        <v>21</v>
      </c>
      <c r="H9" s="12">
        <v>1533000</v>
      </c>
      <c r="I9"/>
      <c r="J9"/>
      <c r="K9"/>
      <c r="L9" s="7" t="s">
        <v>31</v>
      </c>
      <c r="M9" s="12">
        <v>558000</v>
      </c>
      <c r="P9"/>
      <c r="Q9"/>
      <c r="R9" s="23" t="s">
        <v>55</v>
      </c>
      <c r="S9" s="22">
        <v>1995000</v>
      </c>
      <c r="T9" s="35"/>
      <c r="U9" s="36">
        <v>810000</v>
      </c>
    </row>
    <row r="10" spans="2:21" x14ac:dyDescent="0.35">
      <c r="F10"/>
      <c r="G10" s="7" t="s">
        <v>29</v>
      </c>
      <c r="H10" s="12">
        <v>1555000</v>
      </c>
      <c r="I10"/>
      <c r="J10"/>
      <c r="K10"/>
      <c r="L10" s="7" t="s">
        <v>19</v>
      </c>
      <c r="M10" s="12">
        <v>1310000</v>
      </c>
      <c r="P10"/>
      <c r="Q10"/>
      <c r="R10"/>
      <c r="S10"/>
      <c r="U10"/>
    </row>
    <row r="11" spans="2:21" x14ac:dyDescent="0.35">
      <c r="B11" s="5"/>
      <c r="C11" s="5"/>
      <c r="D11" s="5"/>
      <c r="E11" s="5"/>
      <c r="F11" s="5"/>
      <c r="G11" s="7" t="s">
        <v>36</v>
      </c>
      <c r="H11" s="12">
        <v>6331000</v>
      </c>
      <c r="I11" s="5"/>
      <c r="J11" s="5"/>
      <c r="L11" s="7" t="s">
        <v>32</v>
      </c>
      <c r="M11" s="12">
        <v>260000</v>
      </c>
      <c r="Q11"/>
      <c r="R11"/>
      <c r="S11"/>
      <c r="U11"/>
    </row>
    <row r="12" spans="2:21" x14ac:dyDescent="0.35">
      <c r="B12" s="5"/>
      <c r="C12" s="5"/>
      <c r="D12" s="5"/>
      <c r="E12" s="5"/>
      <c r="F12" s="5"/>
      <c r="G12" s="19"/>
      <c r="H12" s="14"/>
      <c r="I12" s="5"/>
      <c r="J12" s="5"/>
      <c r="L12" s="7" t="s">
        <v>36</v>
      </c>
      <c r="M12" s="12">
        <v>6331000</v>
      </c>
      <c r="Q12"/>
      <c r="R12"/>
      <c r="S12"/>
      <c r="U12"/>
    </row>
    <row r="13" spans="2:21" x14ac:dyDescent="0.35">
      <c r="C13"/>
      <c r="F13"/>
      <c r="G13"/>
      <c r="H13"/>
      <c r="I13"/>
      <c r="J13"/>
      <c r="L13"/>
      <c r="M13"/>
      <c r="R13"/>
      <c r="S13"/>
      <c r="U13"/>
    </row>
    <row r="14" spans="2:21" x14ac:dyDescent="0.35">
      <c r="B14" s="40" t="s">
        <v>37</v>
      </c>
      <c r="C14" s="40"/>
      <c r="D14" s="40"/>
      <c r="E14" s="40"/>
      <c r="F14"/>
      <c r="G14" s="40" t="s">
        <v>43</v>
      </c>
      <c r="H14" s="40"/>
      <c r="I14" s="40"/>
      <c r="J14" s="40"/>
      <c r="L14" s="40" t="s">
        <v>41</v>
      </c>
      <c r="M14" s="40"/>
      <c r="N14" s="40"/>
      <c r="O14" s="40"/>
      <c r="R14"/>
      <c r="S14"/>
      <c r="U14"/>
    </row>
    <row r="15" spans="2:21" x14ac:dyDescent="0.35">
      <c r="B15" s="8" t="s">
        <v>38</v>
      </c>
      <c r="C15" s="23"/>
      <c r="D15" s="13"/>
      <c r="E15" s="13"/>
      <c r="F15"/>
      <c r="G15" s="6" t="s">
        <v>38</v>
      </c>
      <c r="H15" s="7"/>
      <c r="I15" s="12"/>
      <c r="J15" s="12"/>
      <c r="L15" s="8" t="s">
        <v>38</v>
      </c>
      <c r="M15" s="23"/>
      <c r="N15" s="13"/>
      <c r="O15" s="13"/>
      <c r="R15"/>
      <c r="S15"/>
      <c r="U15"/>
    </row>
    <row r="16" spans="2:21" x14ac:dyDescent="0.35">
      <c r="B16" s="7"/>
      <c r="C16" s="12" t="s">
        <v>17</v>
      </c>
      <c r="D16" s="7" t="s">
        <v>20</v>
      </c>
      <c r="E16" s="12" t="s">
        <v>26</v>
      </c>
      <c r="F16"/>
      <c r="G16" s="7"/>
      <c r="H16" s="12" t="s">
        <v>17</v>
      </c>
      <c r="I16" s="12" t="s">
        <v>20</v>
      </c>
      <c r="J16" s="12" t="s">
        <v>26</v>
      </c>
      <c r="L16" s="7"/>
      <c r="M16" s="12" t="s">
        <v>17</v>
      </c>
      <c r="N16" s="12" t="s">
        <v>20</v>
      </c>
      <c r="O16" s="12" t="s">
        <v>26</v>
      </c>
      <c r="R16"/>
      <c r="S16"/>
    </row>
    <row r="17" spans="2:19" x14ac:dyDescent="0.35">
      <c r="B17" s="7" t="s">
        <v>24</v>
      </c>
      <c r="C17" s="12">
        <v>1475000</v>
      </c>
      <c r="D17" s="12"/>
      <c r="E17" s="12">
        <v>1810000</v>
      </c>
      <c r="F17"/>
      <c r="G17" s="7" t="s">
        <v>14</v>
      </c>
      <c r="H17" s="12">
        <v>295000</v>
      </c>
      <c r="I17" s="12">
        <v>580000</v>
      </c>
      <c r="J17" s="12"/>
      <c r="L17" s="7" t="s">
        <v>16</v>
      </c>
      <c r="M17" s="12">
        <v>1195000</v>
      </c>
      <c r="N17" s="12"/>
      <c r="O17" s="12">
        <v>1000000</v>
      </c>
      <c r="R17"/>
      <c r="S17"/>
    </row>
    <row r="18" spans="2:19" x14ac:dyDescent="0.35">
      <c r="B18" s="7" t="s">
        <v>22</v>
      </c>
      <c r="C18" s="12">
        <v>1215000</v>
      </c>
      <c r="D18" s="12">
        <v>340000</v>
      </c>
      <c r="E18" s="12"/>
      <c r="F18"/>
      <c r="G18" s="7" t="s">
        <v>27</v>
      </c>
      <c r="H18" s="12">
        <v>1108000</v>
      </c>
      <c r="I18" s="12"/>
      <c r="J18" s="12"/>
      <c r="L18" s="7" t="s">
        <v>28</v>
      </c>
      <c r="M18" s="12">
        <v>1078000</v>
      </c>
      <c r="N18" s="12"/>
      <c r="O18" s="12"/>
      <c r="R18"/>
      <c r="S18"/>
    </row>
    <row r="19" spans="2:19" x14ac:dyDescent="0.35">
      <c r="B19" s="7" t="s">
        <v>15</v>
      </c>
      <c r="C19" s="12">
        <v>971000</v>
      </c>
      <c r="D19" s="12">
        <v>360000</v>
      </c>
      <c r="E19" s="12">
        <v>160000</v>
      </c>
      <c r="G19" s="7" t="s">
        <v>30</v>
      </c>
      <c r="H19" s="12">
        <v>1140000</v>
      </c>
      <c r="I19" s="12">
        <v>120000</v>
      </c>
      <c r="J19" s="12"/>
      <c r="L19" s="7" t="s">
        <v>25</v>
      </c>
      <c r="M19" s="12"/>
      <c r="N19" s="12">
        <v>120000</v>
      </c>
      <c r="O19" s="12">
        <v>810000</v>
      </c>
      <c r="R19"/>
      <c r="S19"/>
    </row>
    <row r="20" spans="2:19" x14ac:dyDescent="0.35">
      <c r="G20" s="7" t="s">
        <v>21</v>
      </c>
      <c r="H20" s="12">
        <v>723000</v>
      </c>
      <c r="I20" s="12"/>
      <c r="J20" s="12">
        <v>810000</v>
      </c>
      <c r="L20" s="7" t="s">
        <v>31</v>
      </c>
      <c r="M20" s="12">
        <v>218000</v>
      </c>
      <c r="N20" s="12">
        <v>340000</v>
      </c>
      <c r="O20" s="12"/>
      <c r="R20"/>
      <c r="S20"/>
    </row>
    <row r="21" spans="2:19" x14ac:dyDescent="0.35">
      <c r="G21" s="7" t="s">
        <v>29</v>
      </c>
      <c r="H21" s="12">
        <v>395000</v>
      </c>
      <c r="I21" s="12"/>
      <c r="J21" s="12">
        <v>1160000</v>
      </c>
      <c r="L21" s="7" t="s">
        <v>19</v>
      </c>
      <c r="M21" s="12">
        <v>910000</v>
      </c>
      <c r="N21" s="12">
        <v>240000</v>
      </c>
      <c r="O21" s="12">
        <v>160000</v>
      </c>
      <c r="R21"/>
      <c r="S21"/>
    </row>
    <row r="22" spans="2:19" x14ac:dyDescent="0.35">
      <c r="L22" s="7" t="s">
        <v>32</v>
      </c>
      <c r="M22" s="12">
        <v>260000</v>
      </c>
      <c r="N22" s="12"/>
      <c r="O22" s="12"/>
      <c r="R22"/>
      <c r="S22"/>
    </row>
    <row r="23" spans="2:19" x14ac:dyDescent="0.35">
      <c r="R23"/>
      <c r="S23"/>
    </row>
    <row r="25" spans="2:19" x14ac:dyDescent="0.35">
      <c r="B25" s="40" t="s">
        <v>45</v>
      </c>
      <c r="C25" s="40"/>
      <c r="D25" s="40"/>
      <c r="G25" s="40" t="s">
        <v>44</v>
      </c>
      <c r="H25" s="40"/>
      <c r="I25" s="40"/>
      <c r="L25" s="40" t="s">
        <v>49</v>
      </c>
      <c r="M25" s="40"/>
      <c r="N25" s="40"/>
    </row>
    <row r="26" spans="2:19" x14ac:dyDescent="0.35">
      <c r="B26" s="6" t="s">
        <v>46</v>
      </c>
      <c r="C26" s="7" t="s">
        <v>35</v>
      </c>
      <c r="D26" s="7" t="s">
        <v>47</v>
      </c>
      <c r="G26" s="6" t="s">
        <v>39</v>
      </c>
      <c r="H26" s="7" t="s">
        <v>35</v>
      </c>
      <c r="I26" s="7" t="s">
        <v>47</v>
      </c>
      <c r="L26" s="6" t="s">
        <v>40</v>
      </c>
      <c r="M26" s="7" t="s">
        <v>35</v>
      </c>
      <c r="N26" s="7" t="s">
        <v>47</v>
      </c>
    </row>
    <row r="27" spans="2:19" x14ac:dyDescent="0.35">
      <c r="B27" s="7" t="s">
        <v>24</v>
      </c>
      <c r="C27" s="17">
        <v>3285000</v>
      </c>
      <c r="D27" s="18">
        <v>2.7241161616161615E-2</v>
      </c>
      <c r="G27" s="7" t="s">
        <v>14</v>
      </c>
      <c r="H27" s="17">
        <v>875000</v>
      </c>
      <c r="I27" s="18">
        <v>2.8412698412698414E-2</v>
      </c>
      <c r="L27" s="7" t="s">
        <v>16</v>
      </c>
      <c r="M27" s="17">
        <v>2195000</v>
      </c>
      <c r="N27" s="18">
        <v>2.7518939393939394E-2</v>
      </c>
    </row>
    <row r="28" spans="2:19" x14ac:dyDescent="0.35">
      <c r="B28" s="7" t="s">
        <v>22</v>
      </c>
      <c r="C28" s="17">
        <v>1555000</v>
      </c>
      <c r="D28" s="18">
        <v>1.1674107142857142E-2</v>
      </c>
      <c r="G28" s="7" t="s">
        <v>27</v>
      </c>
      <c r="H28" s="17">
        <v>1108000</v>
      </c>
      <c r="I28" s="18">
        <v>1.1319444444444444E-2</v>
      </c>
      <c r="L28" s="7" t="s">
        <v>28</v>
      </c>
      <c r="M28" s="17">
        <v>1078000</v>
      </c>
      <c r="N28" s="18">
        <v>1.6111111111111111E-2</v>
      </c>
    </row>
    <row r="29" spans="2:19" x14ac:dyDescent="0.35">
      <c r="B29" s="7" t="s">
        <v>15</v>
      </c>
      <c r="C29" s="17">
        <v>1491000</v>
      </c>
      <c r="D29" s="18">
        <v>6.3059163059163065E-2</v>
      </c>
      <c r="G29" s="7" t="s">
        <v>30</v>
      </c>
      <c r="H29" s="17">
        <v>1260000</v>
      </c>
      <c r="I29" s="18">
        <v>9.2255892255892258E-2</v>
      </c>
      <c r="L29" s="7" t="s">
        <v>25</v>
      </c>
      <c r="M29" s="17">
        <v>930000</v>
      </c>
      <c r="N29" s="18">
        <v>9.375E-2</v>
      </c>
    </row>
    <row r="30" spans="2:19" x14ac:dyDescent="0.35">
      <c r="G30" s="7" t="s">
        <v>21</v>
      </c>
      <c r="H30" s="17">
        <v>1533000</v>
      </c>
      <c r="I30" s="18">
        <v>-4.4696969696969699E-3</v>
      </c>
      <c r="L30" s="7" t="s">
        <v>31</v>
      </c>
      <c r="M30" s="17">
        <v>558000</v>
      </c>
      <c r="N30" s="18">
        <v>1.8831168831168831E-2</v>
      </c>
    </row>
    <row r="31" spans="2:19" x14ac:dyDescent="0.35">
      <c r="G31" s="7" t="s">
        <v>29</v>
      </c>
      <c r="H31" s="17">
        <v>1555000</v>
      </c>
      <c r="I31" s="18">
        <v>7.1506734006734005E-2</v>
      </c>
      <c r="L31" s="7" t="s">
        <v>19</v>
      </c>
      <c r="M31" s="17">
        <v>1310000</v>
      </c>
      <c r="N31" s="18">
        <v>4.3767361111111111E-2</v>
      </c>
    </row>
    <row r="32" spans="2:19" x14ac:dyDescent="0.35">
      <c r="L32" s="7" t="s">
        <v>32</v>
      </c>
      <c r="M32" s="17">
        <v>260000</v>
      </c>
      <c r="N32" s="18">
        <v>5.4545454545454543E-2</v>
      </c>
    </row>
    <row r="34" spans="2:14" x14ac:dyDescent="0.35">
      <c r="B34" s="40" t="s">
        <v>51</v>
      </c>
      <c r="C34" s="40"/>
      <c r="D34" s="40"/>
      <c r="G34" s="40" t="s">
        <v>66</v>
      </c>
      <c r="H34" s="40"/>
      <c r="I34" s="40"/>
      <c r="L34" s="40" t="s">
        <v>66</v>
      </c>
      <c r="M34" s="40"/>
      <c r="N34" s="40"/>
    </row>
    <row r="35" spans="2:14" x14ac:dyDescent="0.35">
      <c r="B35" s="6" t="s">
        <v>46</v>
      </c>
      <c r="C35" s="7" t="s">
        <v>35</v>
      </c>
      <c r="D35" s="7" t="s">
        <v>50</v>
      </c>
      <c r="G35" s="8" t="s">
        <v>39</v>
      </c>
      <c r="H35" s="23" t="s">
        <v>35</v>
      </c>
      <c r="I35" s="23" t="s">
        <v>50</v>
      </c>
      <c r="L35" s="8" t="s">
        <v>67</v>
      </c>
      <c r="M35" s="23" t="s">
        <v>35</v>
      </c>
      <c r="N35" s="23" t="s">
        <v>50</v>
      </c>
    </row>
    <row r="36" spans="2:14" x14ac:dyDescent="0.35">
      <c r="B36" s="7" t="s">
        <v>22</v>
      </c>
      <c r="C36" s="17">
        <v>1555000</v>
      </c>
      <c r="D36" s="7">
        <v>74.650000000000006</v>
      </c>
      <c r="G36" s="7" t="s">
        <v>14</v>
      </c>
      <c r="H36" s="17">
        <v>875000</v>
      </c>
      <c r="I36" s="39">
        <v>73.366666666666674</v>
      </c>
      <c r="L36" s="7" t="s">
        <v>16</v>
      </c>
      <c r="M36" s="17">
        <v>2195000</v>
      </c>
      <c r="N36" s="7">
        <v>74.475000000000009</v>
      </c>
    </row>
    <row r="37" spans="2:14" x14ac:dyDescent="0.35">
      <c r="B37" s="7" t="s">
        <v>15</v>
      </c>
      <c r="C37" s="17">
        <v>1491000</v>
      </c>
      <c r="D37" s="7">
        <v>65.7</v>
      </c>
      <c r="G37" s="7" t="s">
        <v>27</v>
      </c>
      <c r="H37" s="17">
        <v>1108000</v>
      </c>
      <c r="I37" s="39">
        <v>67.666666666666671</v>
      </c>
      <c r="L37" s="7" t="s">
        <v>28</v>
      </c>
      <c r="M37" s="17">
        <v>1078000</v>
      </c>
      <c r="N37" s="7">
        <v>66.05</v>
      </c>
    </row>
    <row r="38" spans="2:14" x14ac:dyDescent="0.35">
      <c r="B38" s="7" t="s">
        <v>24</v>
      </c>
      <c r="C38" s="17">
        <v>3285000</v>
      </c>
      <c r="D38" s="7">
        <v>74.724999999999994</v>
      </c>
      <c r="G38" s="7" t="s">
        <v>30</v>
      </c>
      <c r="H38" s="17">
        <v>1260000</v>
      </c>
      <c r="I38" s="39">
        <v>65.36666666666666</v>
      </c>
      <c r="L38" s="7" t="s">
        <v>25</v>
      </c>
      <c r="M38" s="17">
        <v>930000</v>
      </c>
      <c r="N38" s="7">
        <v>70</v>
      </c>
    </row>
    <row r="39" spans="2:14" x14ac:dyDescent="0.35">
      <c r="G39" s="7" t="s">
        <v>21</v>
      </c>
      <c r="H39" s="17">
        <v>1533000</v>
      </c>
      <c r="I39" s="39">
        <v>75.966666666666669</v>
      </c>
      <c r="L39" s="7" t="s">
        <v>31</v>
      </c>
      <c r="M39" s="17">
        <v>558000</v>
      </c>
      <c r="N39" s="7">
        <v>72.349999999999994</v>
      </c>
    </row>
    <row r="40" spans="2:14" x14ac:dyDescent="0.35">
      <c r="G40" s="7" t="s">
        <v>29</v>
      </c>
      <c r="H40" s="17">
        <v>1555000</v>
      </c>
      <c r="I40" s="39">
        <v>70.100000000000009</v>
      </c>
      <c r="L40" s="7" t="s">
        <v>19</v>
      </c>
      <c r="M40" s="17">
        <v>1310000</v>
      </c>
      <c r="N40" s="7">
        <v>70.399999999999991</v>
      </c>
    </row>
    <row r="41" spans="2:14" x14ac:dyDescent="0.35">
      <c r="G41"/>
      <c r="H41"/>
      <c r="I41"/>
      <c r="L41" s="7" t="s">
        <v>32</v>
      </c>
      <c r="M41" s="17">
        <v>260000</v>
      </c>
      <c r="N41" s="7">
        <v>61.1</v>
      </c>
    </row>
    <row r="42" spans="2:14" x14ac:dyDescent="0.35">
      <c r="L42"/>
      <c r="M42"/>
    </row>
  </sheetData>
  <mergeCells count="17">
    <mergeCell ref="B25:D25"/>
    <mergeCell ref="L25:N25"/>
    <mergeCell ref="B34:D34"/>
    <mergeCell ref="G14:J14"/>
    <mergeCell ref="B14:E14"/>
    <mergeCell ref="B4:C4"/>
    <mergeCell ref="B2:E2"/>
    <mergeCell ref="G2:J2"/>
    <mergeCell ref="L2:O2"/>
    <mergeCell ref="G4:H4"/>
    <mergeCell ref="R2:T2"/>
    <mergeCell ref="L14:O14"/>
    <mergeCell ref="R4:U4"/>
    <mergeCell ref="G34:I34"/>
    <mergeCell ref="L34:N34"/>
    <mergeCell ref="L4:M4"/>
    <mergeCell ref="G25:I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workbookViewId="0">
      <pane ySplit="1" topLeftCell="A2" activePane="bottomLeft" state="frozen"/>
      <selection pane="bottomLeft" activeCell="F11" sqref="F11"/>
    </sheetView>
  </sheetViews>
  <sheetFormatPr defaultRowHeight="14.5" x14ac:dyDescent="0.35"/>
  <cols>
    <col min="1" max="1" width="9.7265625" bestFit="1" customWidth="1"/>
    <col min="2" max="2" width="20.26953125" bestFit="1" customWidth="1"/>
    <col min="3" max="3" width="16.54296875" bestFit="1" customWidth="1"/>
    <col min="4" max="4" width="15.1796875" bestFit="1" customWidth="1"/>
    <col min="5" max="5" width="11" bestFit="1" customWidth="1"/>
    <col min="6" max="6" width="18" bestFit="1" customWidth="1"/>
    <col min="7" max="7" width="18" style="9" customWidth="1"/>
    <col min="8" max="8" width="16.81640625" style="9" bestFit="1" customWidth="1"/>
    <col min="9" max="9" width="14.81640625" customWidth="1"/>
    <col min="10" max="10" width="12" customWidth="1"/>
    <col min="11" max="11" width="16.81640625" customWidth="1"/>
    <col min="12" max="12" width="16.81640625" style="9" bestFit="1" customWidth="1"/>
    <col min="13" max="13" width="19.1796875" bestFit="1" customWidth="1"/>
    <col min="14" max="14" width="18.81640625" style="16" customWidth="1"/>
    <col min="15" max="15" width="10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9" t="s">
        <v>6</v>
      </c>
      <c r="H1" s="9" t="s">
        <v>7</v>
      </c>
      <c r="I1" t="s">
        <v>8</v>
      </c>
      <c r="J1" t="s">
        <v>9</v>
      </c>
      <c r="K1" t="s">
        <v>10</v>
      </c>
      <c r="L1" s="9" t="s">
        <v>11</v>
      </c>
      <c r="M1" t="s">
        <v>12</v>
      </c>
      <c r="N1" s="16" t="s">
        <v>48</v>
      </c>
      <c r="O1" t="s">
        <v>52</v>
      </c>
    </row>
    <row r="2" spans="1:15" x14ac:dyDescent="0.35">
      <c r="A2">
        <v>1</v>
      </c>
      <c r="B2" t="s">
        <v>13</v>
      </c>
      <c r="C2" t="s">
        <v>14</v>
      </c>
      <c r="D2" t="s">
        <v>15</v>
      </c>
      <c r="E2" t="s">
        <v>16</v>
      </c>
      <c r="F2" s="1">
        <v>45306</v>
      </c>
      <c r="G2" s="9">
        <v>300000</v>
      </c>
      <c r="H2" s="9">
        <v>295000</v>
      </c>
      <c r="I2">
        <v>5.0999999999999996</v>
      </c>
      <c r="J2" t="s">
        <v>17</v>
      </c>
      <c r="K2">
        <v>0</v>
      </c>
      <c r="L2" s="9">
        <v>400000</v>
      </c>
      <c r="M2">
        <v>75</v>
      </c>
      <c r="N2" s="16">
        <v>1.6666666666666666E-2</v>
      </c>
      <c r="O2" t="str">
        <f>IF(Table2[[#This Row],[ltv_at_origination]]&lt;65,"low", IF(Table2[[#This Row],[ltv_at_origination]]&lt;75,"medium","high"))</f>
        <v>high</v>
      </c>
    </row>
    <row r="3" spans="1:15" x14ac:dyDescent="0.35">
      <c r="A3">
        <v>2</v>
      </c>
      <c r="B3" t="s">
        <v>18</v>
      </c>
      <c r="C3" t="s">
        <v>14</v>
      </c>
      <c r="D3" t="s">
        <v>15</v>
      </c>
      <c r="E3" t="s">
        <v>19</v>
      </c>
      <c r="F3" s="1">
        <v>45233</v>
      </c>
      <c r="G3" s="9">
        <v>250000</v>
      </c>
      <c r="H3" s="9">
        <v>240000</v>
      </c>
      <c r="I3">
        <v>5.4</v>
      </c>
      <c r="J3" t="s">
        <v>20</v>
      </c>
      <c r="K3">
        <v>45</v>
      </c>
      <c r="L3" s="9">
        <v>350000</v>
      </c>
      <c r="M3">
        <v>71.400000000000006</v>
      </c>
      <c r="N3" s="16">
        <v>0.04</v>
      </c>
      <c r="O3" t="str">
        <f>IF(Table2[[#This Row],[ltv_at_origination]]&lt;65,"low", IF(Table2[[#This Row],[ltv_at_origination]]&lt;75,"medium","high"))</f>
        <v>medium</v>
      </c>
    </row>
    <row r="4" spans="1:15" x14ac:dyDescent="0.35">
      <c r="A4">
        <v>3</v>
      </c>
      <c r="B4" t="s">
        <v>13</v>
      </c>
      <c r="C4" t="s">
        <v>21</v>
      </c>
      <c r="D4" t="s">
        <v>22</v>
      </c>
      <c r="E4" t="s">
        <v>16</v>
      </c>
      <c r="F4" s="1">
        <v>45463</v>
      </c>
      <c r="G4" s="9">
        <v>500000</v>
      </c>
      <c r="H4" s="9">
        <v>505000</v>
      </c>
      <c r="I4">
        <v>7.5</v>
      </c>
      <c r="J4" t="s">
        <v>17</v>
      </c>
      <c r="K4">
        <v>0</v>
      </c>
      <c r="L4" s="9">
        <v>650000</v>
      </c>
      <c r="M4">
        <v>76.900000000000006</v>
      </c>
      <c r="N4" s="16">
        <v>-0.01</v>
      </c>
      <c r="O4" t="str">
        <f>IF(Table2[[#This Row],[ltv_at_origination]]&lt;65,"low", IF(Table2[[#This Row],[ltv_at_origination]]&lt;75,"medium","high"))</f>
        <v>high</v>
      </c>
    </row>
    <row r="5" spans="1:15" x14ac:dyDescent="0.35">
      <c r="A5">
        <v>4</v>
      </c>
      <c r="B5" t="s">
        <v>23</v>
      </c>
      <c r="C5" t="s">
        <v>21</v>
      </c>
      <c r="D5" t="s">
        <v>24</v>
      </c>
      <c r="E5" t="s">
        <v>25</v>
      </c>
      <c r="F5" s="1">
        <v>45179</v>
      </c>
      <c r="G5" s="9">
        <v>800000</v>
      </c>
      <c r="H5" s="9">
        <v>810000</v>
      </c>
      <c r="I5">
        <v>8.25</v>
      </c>
      <c r="J5" t="s">
        <v>26</v>
      </c>
      <c r="K5">
        <v>120</v>
      </c>
      <c r="L5" s="9">
        <v>1000000</v>
      </c>
      <c r="M5">
        <v>80</v>
      </c>
      <c r="N5" s="16">
        <v>-1.2500000000000001E-2</v>
      </c>
      <c r="O5" t="str">
        <f>IF(Table2[[#This Row],[ltv_at_origination]]&lt;65,"low", IF(Table2[[#This Row],[ltv_at_origination]]&lt;75,"medium","high"))</f>
        <v>high</v>
      </c>
    </row>
    <row r="6" spans="1:15" x14ac:dyDescent="0.35">
      <c r="A6">
        <v>5</v>
      </c>
      <c r="B6" t="s">
        <v>18</v>
      </c>
      <c r="C6" t="s">
        <v>27</v>
      </c>
      <c r="D6" t="s">
        <v>15</v>
      </c>
      <c r="E6" t="s">
        <v>28</v>
      </c>
      <c r="F6" s="1">
        <v>45323</v>
      </c>
      <c r="G6" s="9">
        <v>200000</v>
      </c>
      <c r="H6" s="9">
        <v>198000</v>
      </c>
      <c r="I6">
        <v>5</v>
      </c>
      <c r="J6" t="s">
        <v>17</v>
      </c>
      <c r="K6">
        <v>0</v>
      </c>
      <c r="L6" s="9">
        <v>350000</v>
      </c>
      <c r="M6">
        <v>57.1</v>
      </c>
      <c r="N6" s="16">
        <v>0.01</v>
      </c>
      <c r="O6" t="str">
        <f>IF(Table2[[#This Row],[ltv_at_origination]]&lt;65,"low", IF(Table2[[#This Row],[ltv_at_origination]]&lt;75,"medium","high"))</f>
        <v>low</v>
      </c>
    </row>
    <row r="7" spans="1:15" x14ac:dyDescent="0.35">
      <c r="A7">
        <v>6</v>
      </c>
      <c r="B7" t="s">
        <v>13</v>
      </c>
      <c r="C7" t="s">
        <v>29</v>
      </c>
      <c r="D7" t="s">
        <v>15</v>
      </c>
      <c r="E7" t="s">
        <v>19</v>
      </c>
      <c r="F7" s="1">
        <v>45137</v>
      </c>
      <c r="G7" s="9">
        <v>180000</v>
      </c>
      <c r="H7" s="9">
        <v>160000</v>
      </c>
      <c r="I7">
        <v>5.8</v>
      </c>
      <c r="J7" t="s">
        <v>26</v>
      </c>
      <c r="K7">
        <v>180</v>
      </c>
      <c r="L7" s="9">
        <v>280000</v>
      </c>
      <c r="M7">
        <v>64.3</v>
      </c>
      <c r="N7" s="16">
        <v>0.1111111111111111</v>
      </c>
      <c r="O7" t="str">
        <f>IF(Table2[[#This Row],[ltv_at_origination]]&lt;65,"low", IF(Table2[[#This Row],[ltv_at_origination]]&lt;75,"medium","high"))</f>
        <v>low</v>
      </c>
    </row>
    <row r="8" spans="1:15" x14ac:dyDescent="0.35">
      <c r="A8">
        <v>7</v>
      </c>
      <c r="B8" t="s">
        <v>18</v>
      </c>
      <c r="C8" t="s">
        <v>29</v>
      </c>
      <c r="D8" t="s">
        <v>22</v>
      </c>
      <c r="E8" t="s">
        <v>16</v>
      </c>
      <c r="F8" s="1">
        <v>45363</v>
      </c>
      <c r="G8" s="9">
        <v>400000</v>
      </c>
      <c r="H8" s="9">
        <v>395000</v>
      </c>
      <c r="I8">
        <v>7.1</v>
      </c>
      <c r="J8" t="s">
        <v>17</v>
      </c>
      <c r="K8">
        <v>0</v>
      </c>
      <c r="L8" s="9">
        <v>550000</v>
      </c>
      <c r="M8">
        <v>72.7</v>
      </c>
      <c r="N8" s="16">
        <v>1.2500000000000001E-2</v>
      </c>
      <c r="O8" t="str">
        <f>IF(Table2[[#This Row],[ltv_at_origination]]&lt;65,"low", IF(Table2[[#This Row],[ltv_at_origination]]&lt;75,"medium","high"))</f>
        <v>medium</v>
      </c>
    </row>
    <row r="9" spans="1:15" x14ac:dyDescent="0.35">
      <c r="A9">
        <v>8</v>
      </c>
      <c r="B9" t="s">
        <v>13</v>
      </c>
      <c r="C9" t="s">
        <v>30</v>
      </c>
      <c r="D9" t="s">
        <v>15</v>
      </c>
      <c r="E9" t="s">
        <v>25</v>
      </c>
      <c r="F9" s="1">
        <v>44900</v>
      </c>
      <c r="G9" s="9">
        <v>150000</v>
      </c>
      <c r="H9" s="9">
        <v>120000</v>
      </c>
      <c r="I9">
        <v>5.6</v>
      </c>
      <c r="J9" t="s">
        <v>20</v>
      </c>
      <c r="K9">
        <v>30</v>
      </c>
      <c r="L9" s="9">
        <v>250000</v>
      </c>
      <c r="M9">
        <v>60</v>
      </c>
      <c r="N9" s="16">
        <v>0.2</v>
      </c>
      <c r="O9" t="str">
        <f>IF(Table2[[#This Row],[ltv_at_origination]]&lt;65,"low", IF(Table2[[#This Row],[ltv_at_origination]]&lt;75,"medium","high"))</f>
        <v>low</v>
      </c>
    </row>
    <row r="10" spans="1:15" x14ac:dyDescent="0.35">
      <c r="A10">
        <v>9</v>
      </c>
      <c r="B10" t="s">
        <v>23</v>
      </c>
      <c r="C10" t="s">
        <v>30</v>
      </c>
      <c r="D10" t="s">
        <v>24</v>
      </c>
      <c r="E10" t="s">
        <v>28</v>
      </c>
      <c r="F10" s="1">
        <v>45034</v>
      </c>
      <c r="G10" s="9">
        <v>900000</v>
      </c>
      <c r="H10" s="9">
        <v>880000</v>
      </c>
      <c r="I10">
        <v>8.5</v>
      </c>
      <c r="J10" t="s">
        <v>17</v>
      </c>
      <c r="K10">
        <v>0</v>
      </c>
      <c r="L10" s="9">
        <v>1200000</v>
      </c>
      <c r="M10">
        <v>75</v>
      </c>
      <c r="N10" s="16">
        <v>2.2222222222222223E-2</v>
      </c>
      <c r="O10" s="9" t="str">
        <f>IF(Table2[[#This Row],[ltv_at_origination]]&lt;65,"low", IF(Table2[[#This Row],[ltv_at_origination]]&lt;75,"medium","high"))</f>
        <v>high</v>
      </c>
    </row>
    <row r="11" spans="1:15" x14ac:dyDescent="0.35">
      <c r="A11">
        <v>10</v>
      </c>
      <c r="B11" t="s">
        <v>18</v>
      </c>
      <c r="C11" t="s">
        <v>27</v>
      </c>
      <c r="D11" t="s">
        <v>24</v>
      </c>
      <c r="E11" t="s">
        <v>19</v>
      </c>
      <c r="F11" s="1">
        <v>45421</v>
      </c>
      <c r="G11" s="9">
        <v>600000</v>
      </c>
      <c r="H11" s="9">
        <v>595000</v>
      </c>
      <c r="I11">
        <v>8.1</v>
      </c>
      <c r="J11" t="s">
        <v>17</v>
      </c>
      <c r="K11">
        <v>0</v>
      </c>
      <c r="L11" s="9">
        <v>850000</v>
      </c>
      <c r="M11">
        <v>70.599999999999994</v>
      </c>
      <c r="N11" s="16">
        <v>8.3333333333333332E-3</v>
      </c>
      <c r="O11" t="str">
        <f>IF(Table2[[#This Row],[ltv_at_origination]]&lt;65,"low", IF(Table2[[#This Row],[ltv_at_origination]]&lt;75,"medium","high"))</f>
        <v>medium</v>
      </c>
    </row>
    <row r="12" spans="1:15" x14ac:dyDescent="0.35">
      <c r="A12">
        <v>11</v>
      </c>
      <c r="B12" t="s">
        <v>13</v>
      </c>
      <c r="C12" t="s">
        <v>14</v>
      </c>
      <c r="D12" t="s">
        <v>22</v>
      </c>
      <c r="E12" t="s">
        <v>31</v>
      </c>
      <c r="F12" s="1">
        <v>45160</v>
      </c>
      <c r="G12" s="9">
        <v>350000</v>
      </c>
      <c r="H12" s="9">
        <v>340000</v>
      </c>
      <c r="I12">
        <v>7.8</v>
      </c>
      <c r="J12" t="s">
        <v>20</v>
      </c>
      <c r="K12">
        <v>60</v>
      </c>
      <c r="L12" s="9">
        <v>475000</v>
      </c>
      <c r="M12">
        <v>73.7</v>
      </c>
      <c r="N12" s="16">
        <v>2.8571428571428571E-2</v>
      </c>
      <c r="O12" s="2" t="str">
        <f>IF(Table2[[#This Row],[ltv_at_origination]]&lt;65,"low", IF(Table2[[#This Row],[ltv_at_origination]]&lt;75,"medium","high"))</f>
        <v>medium</v>
      </c>
    </row>
    <row r="13" spans="1:15" x14ac:dyDescent="0.35">
      <c r="A13">
        <v>12</v>
      </c>
      <c r="B13" t="s">
        <v>13</v>
      </c>
      <c r="C13" t="s">
        <v>21</v>
      </c>
      <c r="D13" t="s">
        <v>15</v>
      </c>
      <c r="E13" t="s">
        <v>31</v>
      </c>
      <c r="F13" s="1">
        <v>45320</v>
      </c>
      <c r="G13" s="9">
        <v>220000</v>
      </c>
      <c r="H13" s="9">
        <v>218000</v>
      </c>
      <c r="I13">
        <v>5.3</v>
      </c>
      <c r="J13" t="s">
        <v>17</v>
      </c>
      <c r="K13">
        <v>0</v>
      </c>
      <c r="L13" s="9">
        <v>310000</v>
      </c>
      <c r="M13">
        <v>71</v>
      </c>
      <c r="N13" s="16">
        <v>9.0909090909090905E-3</v>
      </c>
      <c r="O13" t="str">
        <f>IF(Table2[[#This Row],[ltv_at_origination]]&lt;65,"low", IF(Table2[[#This Row],[ltv_at_origination]]&lt;75,"medium","high"))</f>
        <v>medium</v>
      </c>
    </row>
    <row r="14" spans="1:15" x14ac:dyDescent="0.35">
      <c r="A14">
        <v>13</v>
      </c>
      <c r="B14" t="s">
        <v>18</v>
      </c>
      <c r="C14" t="s">
        <v>30</v>
      </c>
      <c r="D14" t="s">
        <v>15</v>
      </c>
      <c r="E14" t="s">
        <v>32</v>
      </c>
      <c r="F14" s="1">
        <v>44988</v>
      </c>
      <c r="G14" s="9">
        <v>275000</v>
      </c>
      <c r="H14" s="9">
        <v>260000</v>
      </c>
      <c r="I14">
        <v>5.7</v>
      </c>
      <c r="J14" t="s">
        <v>17</v>
      </c>
      <c r="K14">
        <v>0</v>
      </c>
      <c r="L14" s="9">
        <v>450000</v>
      </c>
      <c r="M14">
        <v>61.1</v>
      </c>
      <c r="N14" s="16">
        <v>5.4545454545454543E-2</v>
      </c>
      <c r="O14" t="str">
        <f>IF(Table2[[#This Row],[ltv_at_origination]]&lt;65,"low", IF(Table2[[#This Row],[ltv_at_origination]]&lt;75,"medium","high"))</f>
        <v>low</v>
      </c>
    </row>
    <row r="15" spans="1:15" x14ac:dyDescent="0.35">
      <c r="A15">
        <v>14</v>
      </c>
      <c r="B15" t="s">
        <v>23</v>
      </c>
      <c r="C15" t="s">
        <v>29</v>
      </c>
      <c r="D15" t="s">
        <v>24</v>
      </c>
      <c r="E15" t="s">
        <v>16</v>
      </c>
      <c r="F15" s="1">
        <v>44876</v>
      </c>
      <c r="G15" s="9">
        <v>1100000</v>
      </c>
      <c r="H15" s="9">
        <v>1000000</v>
      </c>
      <c r="I15">
        <v>8.9</v>
      </c>
      <c r="J15" t="s">
        <v>26</v>
      </c>
      <c r="K15">
        <v>150</v>
      </c>
      <c r="L15" s="9">
        <v>1500000</v>
      </c>
      <c r="M15">
        <v>73.3</v>
      </c>
      <c r="N15" s="16">
        <v>9.0909090909090912E-2</v>
      </c>
      <c r="O15" t="str">
        <f>IF(Table2[[#This Row],[ltv_at_origination]]&lt;65,"low", IF(Table2[[#This Row],[ltv_at_origination]]&lt;75,"medium","high"))</f>
        <v>medium</v>
      </c>
    </row>
    <row r="16" spans="1:15" x14ac:dyDescent="0.35">
      <c r="A16">
        <v>15</v>
      </c>
      <c r="B16" t="s">
        <v>13</v>
      </c>
      <c r="C16" t="s">
        <v>27</v>
      </c>
      <c r="D16" t="s">
        <v>22</v>
      </c>
      <c r="E16" t="s">
        <v>19</v>
      </c>
      <c r="F16" s="1">
        <v>45216</v>
      </c>
      <c r="G16" s="9">
        <v>320000</v>
      </c>
      <c r="H16" s="9">
        <v>315000</v>
      </c>
      <c r="I16">
        <v>7.2</v>
      </c>
      <c r="J16" t="s">
        <v>17</v>
      </c>
      <c r="K16">
        <v>0</v>
      </c>
      <c r="L16" s="9">
        <v>425000</v>
      </c>
      <c r="M16">
        <v>75.3</v>
      </c>
      <c r="N16" s="16">
        <v>1.5625E-2</v>
      </c>
      <c r="O16" t="str">
        <f>IF(Table2[[#This Row],[ltv_at_origination]]&lt;65,"low", IF(Table2[[#This Row],[ltv_at_origination]]&lt;75,"medium","high"))</f>
        <v>high</v>
      </c>
    </row>
    <row r="18" spans="13:13" x14ac:dyDescent="0.35">
      <c r="M18" s="2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charts</vt:lpstr>
      <vt:lpstr>tables_pivot</vt:lpstr>
      <vt:lpstr>loans_raw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 Whiteley</dc:creator>
  <cp:keywords/>
  <dc:description/>
  <cp:lastModifiedBy>Liam Whiteley Johnson</cp:lastModifiedBy>
  <cp:revision/>
  <dcterms:created xsi:type="dcterms:W3CDTF">2026-03-25T11:35:29Z</dcterms:created>
  <dcterms:modified xsi:type="dcterms:W3CDTF">2026-03-26T11:10:13Z</dcterms:modified>
  <cp:category/>
  <cp:contentStatus/>
</cp:coreProperties>
</file>